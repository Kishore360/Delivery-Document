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4AEB4F63-F33D-04DF-ECAF-5796C6CBFC7C}"/>
  <workbookPr filterPrivacy="1" codeName="ThisWorkbook" hidePivotFieldList="1"/>
  <xr:revisionPtr revIDLastSave="0" documentId="13_ncr:1_{668ECE95-0E3C-4485-A84E-AD004ADFF83E}" xr6:coauthVersionLast="44" xr6:coauthVersionMax="45" xr10:uidLastSave="{00000000-0000-0000-0000-000000000000}"/>
  <bookViews>
    <workbookView xWindow="-120" yWindow="-120" windowWidth="20730" windowHeight="11160" tabRatio="716" xr2:uid="{00000000-000D-0000-FFFF-FFFF00000000}"/>
  </bookViews>
  <sheets>
    <sheet name="Internal BoM" sheetId="1" r:id="rId1"/>
    <sheet name="Task Types" sheetId="3" state="hidden" r:id="rId2"/>
    <sheet name="CSMPTS_Automated" sheetId="11" r:id="rId3"/>
    <sheet name="Summary_Automated" sheetId="14" r:id="rId4"/>
    <sheet name="Items" sheetId="6" r:id="rId5"/>
    <sheet name="Points Explanations" sheetId="7" state="hidden" r:id="rId6"/>
    <sheet name="CSMPTS_Manual" sheetId="13" r:id="rId7"/>
    <sheet name="Summary_Manual" sheetId="15" r:id="rId8"/>
    <sheet name="Description" sheetId="10" state="hidden" r:id="rId9"/>
    <sheet name="Points Category" sheetId="5" state="hidden" r:id="rId10"/>
  </sheets>
  <definedNames>
    <definedName name="_xlnm._FilterDatabase" localSheetId="4" hidden="1">Items!$A$2:$O$100</definedName>
    <definedName name="Analytics">'Task Types'!$A$3:$A$4</definedName>
    <definedName name="Complexity">'Points Category'!$C$2:$E$2</definedName>
    <definedName name="Documentation">'Task Types'!$B$3:$B$4</definedName>
    <definedName name="Existing_Data_Model_Changes">'Task Types'!$C$3:$C$24</definedName>
    <definedName name="New_Data_Models">'Task Types'!$D$3:$D$30</definedName>
    <definedName name="New_Integrations">'Task Types'!$E$3:$E$12</definedName>
    <definedName name="ODS_MDS_Changes">'Task Types'!$F$3:$F$8</definedName>
    <definedName name="Others">'Task Types'!$I$3:$I$9</definedName>
    <definedName name="_xlnm.Print_Area" localSheetId="2">CSMPTS_Automated!$B$3:$I$15</definedName>
    <definedName name="_xlnm.Print_Area" localSheetId="6">CSMPTS_Manual!$B$3:$H$15</definedName>
    <definedName name="_xlnm.Print_Area" localSheetId="0">'Internal BoM'!$B$2:$M$23</definedName>
    <definedName name="Requires_Scoping">'Task Types'!$J$3:$J$16</definedName>
    <definedName name="Training">'Task Types'!$G$3:$G$4</definedName>
    <definedName name="TypeList">'Task Types'!$A$2:$H$2</definedName>
    <definedName name="Visualization_Development">'Task Types'!$H$3:$H$7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" i="13" l="1"/>
  <c r="J6" i="13" s="1"/>
  <c r="G14" i="13"/>
  <c r="J14" i="13" s="1"/>
  <c r="G7" i="13"/>
  <c r="J7" i="13" s="1"/>
  <c r="G11" i="13"/>
  <c r="J11" i="13" s="1"/>
  <c r="G12" i="13"/>
  <c r="J12" i="13" s="1"/>
  <c r="G8" i="13"/>
  <c r="J8" i="13" s="1"/>
  <c r="G9" i="13"/>
  <c r="J9" i="13" s="1"/>
  <c r="G13" i="13"/>
  <c r="J13" i="13" s="1"/>
  <c r="G15" i="13"/>
  <c r="J15" i="13" s="1"/>
  <c r="G10" i="13"/>
  <c r="J10" i="13" s="1"/>
  <c r="F6" i="13"/>
  <c r="F14" i="13"/>
  <c r="F7" i="13"/>
  <c r="F11" i="13"/>
  <c r="F12" i="13"/>
  <c r="F8" i="13"/>
  <c r="F9" i="13"/>
  <c r="F13" i="13"/>
  <c r="F15" i="13"/>
  <c r="F10" i="13"/>
  <c r="E6" i="13"/>
  <c r="E14" i="13"/>
  <c r="E7" i="13"/>
  <c r="E10" i="13"/>
  <c r="E7" i="11"/>
  <c r="H7" i="11" s="1" a="1"/>
  <c r="H7" i="11" s="1"/>
  <c r="E8" i="11"/>
  <c r="H8" i="11" s="1" a="1"/>
  <c r="H8" i="11" s="1"/>
  <c r="E6" i="11"/>
  <c r="H6" i="11" s="1" a="1"/>
  <c r="H6" i="11" s="1"/>
  <c r="J13" i="1"/>
  <c r="I13" i="1"/>
  <c r="H13" i="1"/>
  <c r="E11" i="13"/>
  <c r="E12" i="13"/>
  <c r="E8" i="13"/>
  <c r="E9" i="13"/>
  <c r="E13" i="13"/>
  <c r="E15" i="13"/>
  <c r="J12" i="1" l="1"/>
  <c r="I12" i="1"/>
  <c r="H12" i="1"/>
  <c r="J11" i="1"/>
  <c r="I11" i="1"/>
  <c r="H11" i="1"/>
  <c r="J16" i="1" l="1"/>
  <c r="I16" i="1"/>
  <c r="H16" i="1"/>
  <c r="G16" i="1"/>
  <c r="K16" i="1" l="1"/>
  <c r="O3" i="6"/>
  <c r="J15" i="1"/>
  <c r="I15" i="1"/>
  <c r="H15" i="1"/>
  <c r="J17" i="1"/>
  <c r="I17" i="1"/>
  <c r="H17" i="1"/>
  <c r="G17" i="1"/>
  <c r="K15" i="1" l="1"/>
  <c r="K17" i="1"/>
  <c r="J14" i="1" l="1"/>
  <c r="I14" i="1"/>
  <c r="H14" i="1"/>
  <c r="K90" i="6" l="1"/>
  <c r="L90" i="6" s="1"/>
  <c r="L73" i="6"/>
  <c r="L74" i="6"/>
  <c r="L75" i="6"/>
  <c r="L76" i="6"/>
  <c r="L77" i="6"/>
  <c r="L78" i="6"/>
  <c r="L79" i="6"/>
  <c r="L91" i="6"/>
  <c r="L92" i="6"/>
  <c r="J18" i="1"/>
  <c r="J19" i="1"/>
  <c r="J20" i="1"/>
  <c r="I18" i="1"/>
  <c r="I19" i="1"/>
  <c r="I20" i="1"/>
  <c r="H18" i="1"/>
  <c r="H19" i="1"/>
  <c r="H20" i="1"/>
  <c r="G18" i="1"/>
  <c r="K20" i="1" l="1"/>
  <c r="K18" i="1"/>
  <c r="K19" i="1"/>
  <c r="E15" i="11"/>
  <c r="H15" i="11" s="1" a="1"/>
  <c r="H15" i="11" s="1"/>
  <c r="E16" i="11"/>
  <c r="H16" i="11" s="1" a="1"/>
  <c r="H16" i="11" s="1"/>
  <c r="E17" i="11"/>
  <c r="H17" i="11" s="1" a="1"/>
  <c r="H17" i="11" s="1"/>
  <c r="F15" i="1" l="1"/>
  <c r="F14" i="1"/>
  <c r="F13" i="1"/>
  <c r="F12" i="1"/>
  <c r="F11" i="1"/>
  <c r="K4" i="11" l="1"/>
  <c r="G19" i="1" l="1"/>
  <c r="G20" i="1"/>
  <c r="I1" i="3" l="1"/>
  <c r="H1" i="3"/>
  <c r="G1" i="3"/>
  <c r="O97" i="6"/>
  <c r="K97" i="6"/>
  <c r="L97" i="6" s="1"/>
  <c r="O12" i="1" l="1"/>
  <c r="O13" i="1"/>
  <c r="O14" i="1"/>
  <c r="O15" i="1"/>
  <c r="O16" i="1"/>
  <c r="O17" i="1"/>
  <c r="O18" i="1"/>
  <c r="O19" i="1"/>
  <c r="O20" i="1"/>
  <c r="N12" i="1"/>
  <c r="N13" i="1"/>
  <c r="N14" i="1"/>
  <c r="N15" i="1"/>
  <c r="N16" i="1"/>
  <c r="N17" i="1"/>
  <c r="N18" i="1"/>
  <c r="N19" i="1"/>
  <c r="N20" i="1"/>
  <c r="M12" i="1"/>
  <c r="M13" i="1"/>
  <c r="M14" i="1"/>
  <c r="M16" i="1"/>
  <c r="M17" i="1"/>
  <c r="M18" i="1"/>
  <c r="M19" i="1"/>
  <c r="M20" i="1"/>
  <c r="L18" i="1"/>
  <c r="L19" i="1"/>
  <c r="L20" i="1"/>
  <c r="F17" i="1"/>
  <c r="F18" i="1"/>
  <c r="F19" i="1"/>
  <c r="F20" i="1"/>
  <c r="P20" i="1" l="1"/>
  <c r="Q20" i="1" s="1"/>
  <c r="P19" i="1"/>
  <c r="Q19" i="1" s="1"/>
  <c r="P18" i="1"/>
  <c r="Q18" i="1" s="1"/>
  <c r="M15" i="1"/>
  <c r="O3" i="1"/>
  <c r="O11" i="1"/>
  <c r="N11" i="1" l="1"/>
  <c r="M11" i="1" l="1"/>
  <c r="N21" i="1"/>
  <c r="O21" i="1"/>
  <c r="C3" i="1"/>
  <c r="O23" i="1" l="1"/>
  <c r="O24" i="1" s="1"/>
  <c r="N23" i="1"/>
  <c r="N24" i="1" s="1"/>
  <c r="F16" i="1"/>
  <c r="L1" i="3"/>
  <c r="E1" i="3"/>
  <c r="D1" i="3"/>
  <c r="J1" i="3"/>
  <c r="F1" i="3"/>
  <c r="C1" i="3"/>
  <c r="B1" i="3"/>
  <c r="A1" i="3"/>
  <c r="M21" i="1" l="1"/>
  <c r="M23" i="1" s="1"/>
  <c r="K1" i="3"/>
  <c r="M1" i="3" s="1"/>
  <c r="K49" i="6"/>
  <c r="L49" i="6" s="1"/>
  <c r="K28" i="6"/>
  <c r="L28" i="6" s="1"/>
  <c r="K27" i="6"/>
  <c r="L27" i="6" s="1"/>
  <c r="M24" i="1" l="1"/>
  <c r="O21" i="6"/>
  <c r="K26" i="6" l="1"/>
  <c r="L26" i="6" s="1"/>
  <c r="K98" i="6"/>
  <c r="L98" i="6" s="1"/>
  <c r="K96" i="6"/>
  <c r="L96" i="6" s="1"/>
  <c r="K14" i="1" s="1"/>
  <c r="O79" i="6" l="1"/>
  <c r="O78" i="6"/>
  <c r="O77" i="6"/>
  <c r="O76" i="6"/>
  <c r="O75" i="6"/>
  <c r="O74" i="6"/>
  <c r="O73" i="6"/>
  <c r="O5" i="6"/>
  <c r="O4" i="6"/>
  <c r="G15" i="1"/>
  <c r="O100" i="6"/>
  <c r="O99" i="6"/>
  <c r="O98" i="6"/>
  <c r="O96" i="6"/>
  <c r="G14" i="1" s="1"/>
  <c r="O95" i="6"/>
  <c r="O94" i="6"/>
  <c r="O66" i="6"/>
  <c r="O65" i="6"/>
  <c r="O64" i="6"/>
  <c r="O63" i="6"/>
  <c r="O62" i="6"/>
  <c r="G13" i="1" s="1"/>
  <c r="O61" i="6"/>
  <c r="O60" i="6"/>
  <c r="O59" i="6"/>
  <c r="O58" i="6"/>
  <c r="O57" i="6"/>
  <c r="G11" i="1" s="1"/>
  <c r="O56" i="6"/>
  <c r="O55" i="6"/>
  <c r="O54" i="6"/>
  <c r="O53" i="6"/>
  <c r="O52" i="6"/>
  <c r="O51" i="6"/>
  <c r="O50" i="6"/>
  <c r="O49" i="6"/>
  <c r="O48" i="6"/>
  <c r="O28" i="6"/>
  <c r="O27" i="6"/>
  <c r="O26" i="6"/>
  <c r="O47" i="6"/>
  <c r="O46" i="6"/>
  <c r="O45" i="6"/>
  <c r="O44" i="6"/>
  <c r="O43" i="6"/>
  <c r="O42" i="6"/>
  <c r="O41" i="6"/>
  <c r="O40" i="6"/>
  <c r="O39" i="6"/>
  <c r="O38" i="6"/>
  <c r="O37" i="6"/>
  <c r="O36" i="6"/>
  <c r="O35" i="6"/>
  <c r="O34" i="6"/>
  <c r="G12" i="1" s="1"/>
  <c r="O33" i="6"/>
  <c r="O32" i="6"/>
  <c r="O31" i="6"/>
  <c r="O30" i="6"/>
  <c r="O29" i="6"/>
  <c r="O72" i="6"/>
  <c r="O71" i="6"/>
  <c r="O70" i="6"/>
  <c r="O69" i="6"/>
  <c r="O68" i="6"/>
  <c r="O67" i="6"/>
  <c r="O24" i="6"/>
  <c r="O23" i="6"/>
  <c r="O22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L15" i="1" l="1"/>
  <c r="L13" i="1"/>
  <c r="L16" i="1"/>
  <c r="L12" i="1"/>
  <c r="L17" i="1"/>
  <c r="L11" i="1"/>
  <c r="L14" i="1"/>
  <c r="Q7" i="6"/>
  <c r="Q5" i="6"/>
  <c r="Q6" i="6"/>
  <c r="J4" i="13" l="1"/>
  <c r="L21" i="1"/>
  <c r="L23" i="1" s="1"/>
  <c r="K6" i="6"/>
  <c r="L6" i="6" s="1"/>
  <c r="K5" i="6"/>
  <c r="L5" i="6" s="1"/>
  <c r="K4" i="6"/>
  <c r="L4" i="6" s="1"/>
  <c r="K3" i="6"/>
  <c r="L3" i="6" s="1"/>
  <c r="K100" i="6"/>
  <c r="L100" i="6" s="1"/>
  <c r="K93" i="6"/>
  <c r="L93" i="6" s="1"/>
  <c r="K99" i="6"/>
  <c r="L99" i="6" s="1"/>
  <c r="K95" i="6"/>
  <c r="L95" i="6" s="1"/>
  <c r="K94" i="6"/>
  <c r="L94" i="6" s="1"/>
  <c r="K66" i="6"/>
  <c r="L66" i="6" s="1"/>
  <c r="K65" i="6"/>
  <c r="L65" i="6" s="1"/>
  <c r="K64" i="6"/>
  <c r="L64" i="6" s="1"/>
  <c r="K63" i="6"/>
  <c r="L63" i="6" s="1"/>
  <c r="K62" i="6"/>
  <c r="L62" i="6" s="1"/>
  <c r="K13" i="1" s="1"/>
  <c r="K61" i="6"/>
  <c r="L61" i="6" s="1"/>
  <c r="K60" i="6"/>
  <c r="L60" i="6" s="1"/>
  <c r="K59" i="6"/>
  <c r="L59" i="6" s="1"/>
  <c r="K58" i="6"/>
  <c r="L58" i="6" s="1"/>
  <c r="K57" i="6"/>
  <c r="L57" i="6" s="1"/>
  <c r="K11" i="1" s="1"/>
  <c r="K84" i="6"/>
  <c r="L84" i="6" s="1"/>
  <c r="K83" i="6"/>
  <c r="L83" i="6" s="1"/>
  <c r="K82" i="6"/>
  <c r="L82" i="6" s="1"/>
  <c r="K81" i="6"/>
  <c r="L81" i="6" s="1"/>
  <c r="K80" i="6"/>
  <c r="L80" i="6" s="1"/>
  <c r="K56" i="6"/>
  <c r="L56" i="6" s="1"/>
  <c r="K55" i="6"/>
  <c r="L55" i="6" s="1"/>
  <c r="K54" i="6"/>
  <c r="L54" i="6" s="1"/>
  <c r="K53" i="6"/>
  <c r="L53" i="6" s="1"/>
  <c r="K52" i="6"/>
  <c r="L52" i="6" s="1"/>
  <c r="K51" i="6"/>
  <c r="L51" i="6" s="1"/>
  <c r="K50" i="6"/>
  <c r="L50" i="6" s="1"/>
  <c r="K48" i="6"/>
  <c r="L48" i="6" s="1"/>
  <c r="K47" i="6"/>
  <c r="L47" i="6" s="1"/>
  <c r="K89" i="6"/>
  <c r="L89" i="6" s="1"/>
  <c r="K46" i="6"/>
  <c r="L46" i="6" s="1"/>
  <c r="K45" i="6"/>
  <c r="L45" i="6" s="1"/>
  <c r="K44" i="6"/>
  <c r="L44" i="6" s="1"/>
  <c r="K43" i="6"/>
  <c r="L43" i="6" s="1"/>
  <c r="K42" i="6"/>
  <c r="L42" i="6" s="1"/>
  <c r="K41" i="6"/>
  <c r="L41" i="6" s="1"/>
  <c r="K40" i="6"/>
  <c r="L40" i="6" s="1"/>
  <c r="K39" i="6"/>
  <c r="L39" i="6" s="1"/>
  <c r="K38" i="6"/>
  <c r="L38" i="6" s="1"/>
  <c r="K37" i="6"/>
  <c r="L37" i="6" s="1"/>
  <c r="K36" i="6"/>
  <c r="L36" i="6" s="1"/>
  <c r="K35" i="6"/>
  <c r="L35" i="6" s="1"/>
  <c r="K34" i="6"/>
  <c r="L34" i="6" s="1"/>
  <c r="K12" i="1" s="1"/>
  <c r="K33" i="6"/>
  <c r="L33" i="6" s="1"/>
  <c r="K32" i="6"/>
  <c r="L32" i="6" s="1"/>
  <c r="K31" i="6"/>
  <c r="L31" i="6" s="1"/>
  <c r="K30" i="6"/>
  <c r="L30" i="6" s="1"/>
  <c r="K29" i="6"/>
  <c r="L29" i="6" s="1"/>
  <c r="K72" i="6"/>
  <c r="L72" i="6" s="1"/>
  <c r="K85" i="6"/>
  <c r="L85" i="6" s="1"/>
  <c r="K71" i="6"/>
  <c r="L71" i="6" s="1"/>
  <c r="K70" i="6"/>
  <c r="L70" i="6" s="1"/>
  <c r="K69" i="6"/>
  <c r="L69" i="6" s="1"/>
  <c r="K88" i="6"/>
  <c r="L88" i="6" s="1"/>
  <c r="K87" i="6"/>
  <c r="L87" i="6" s="1"/>
  <c r="K86" i="6"/>
  <c r="L86" i="6" s="1"/>
  <c r="K68" i="6"/>
  <c r="L68" i="6" s="1"/>
  <c r="K67" i="6"/>
  <c r="L67" i="6" s="1"/>
  <c r="K25" i="6"/>
  <c r="L25" i="6" s="1"/>
  <c r="K24" i="6"/>
  <c r="L24" i="6" s="1"/>
  <c r="K23" i="6"/>
  <c r="L23" i="6" s="1"/>
  <c r="K22" i="6"/>
  <c r="L22" i="6" s="1"/>
  <c r="K21" i="6"/>
  <c r="L21" i="6" s="1"/>
  <c r="K20" i="6"/>
  <c r="L20" i="6" s="1"/>
  <c r="K19" i="6"/>
  <c r="L19" i="6" s="1"/>
  <c r="K18" i="6"/>
  <c r="L18" i="6" s="1"/>
  <c r="K17" i="6"/>
  <c r="L17" i="6" s="1"/>
  <c r="K16" i="6"/>
  <c r="L16" i="6" s="1"/>
  <c r="K15" i="6"/>
  <c r="L15" i="6" s="1"/>
  <c r="K14" i="6"/>
  <c r="L14" i="6" s="1"/>
  <c r="K13" i="6"/>
  <c r="L13" i="6" s="1"/>
  <c r="K12" i="6"/>
  <c r="L12" i="6" s="1"/>
  <c r="K11" i="6"/>
  <c r="L11" i="6" s="1"/>
  <c r="K10" i="6"/>
  <c r="L10" i="6" s="1"/>
  <c r="K9" i="6"/>
  <c r="L9" i="6" s="1"/>
  <c r="K8" i="6"/>
  <c r="K7" i="6"/>
  <c r="L7" i="6" s="1"/>
  <c r="P17" i="1" l="1"/>
  <c r="Q17" i="1" s="1"/>
  <c r="L8" i="6"/>
  <c r="P12" i="1" s="1"/>
  <c r="Q12" i="1" s="1"/>
  <c r="P15" i="1"/>
  <c r="Q15" i="1" s="1"/>
  <c r="P11" i="1"/>
  <c r="Q11" i="1" s="1"/>
  <c r="P16" i="1"/>
  <c r="Q16" i="1" s="1"/>
  <c r="P13" i="1"/>
  <c r="Q13" i="1" s="1"/>
  <c r="P14" i="1"/>
  <c r="Q14" i="1" s="1"/>
  <c r="P21" i="1" l="1"/>
  <c r="P23" i="1" s="1"/>
  <c r="P24" i="1" s="1"/>
  <c r="O4" i="1" s="1"/>
  <c r="Q3" i="1" s="1"/>
  <c r="Q4" i="1" s="1"/>
  <c r="Q21" i="1"/>
  <c r="Q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tc={F153095E-C3E8-4A60-9381-8E1091535B5F}</author>
    <author>tc={E9C0AF9D-CE7E-4B4B-A379-65C324855627}</author>
    <author>tc={B5139B97-067D-4B94-B689-20A933EBB73E}</author>
    <author>tc={61EC8F9F-5593-47A7-91FB-2C7BC4827D78}</author>
    <author>tc={0D5CDF00-FF1D-40CA-A7AF-3C20B16528C9}</author>
    <author>tc={1D794100-30B1-4846-A232-F3E9E5F3B718}</author>
    <author>tc={8634A709-38B0-4B3B-AC0B-4B3336B26263}</author>
    <author>tc={2208AEB2-C26D-4EA3-B9D9-898E24DC7735}</author>
    <author>tc={A4F530B9-775C-467B-A251-768A56FC7908}</author>
    <author>tc={8B0FF853-9BD7-4026-81DD-B00A70785664}</author>
    <author>tc={54DE7D53-46CA-47E6-BB8F-981D1EB54116}</author>
  </authors>
  <commentList>
    <comment ref="H3" authorId="0" shapeId="0" xr:uid="{F153095E-C3E8-4A60-9381-8E1091535B5F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4" authorId="1" shapeId="0" xr:uid="{E9C0AF9D-CE7E-4B4B-A379-65C324855627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5" authorId="2" shapeId="0" xr:uid="{B5139B97-067D-4B94-B689-20A933EBB73E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6" authorId="3" shapeId="0" xr:uid="{61EC8F9F-5593-47A7-91FB-2C7BC4827D78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7" authorId="4" shapeId="0" xr:uid="{0D5CDF00-FF1D-40CA-A7AF-3C20B16528C9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J7" authorId="5" shapeId="0" xr:uid="{1D794100-30B1-4846-A232-F3E9E5F3B718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can't we just call this complex add attribute?</t>
      </text>
    </comment>
    <comment ref="J9" authorId="6" shapeId="0" xr:uid="{8634A709-38B0-4B3B-AC0B-4B3336B26263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does this require scoping?</t>
      </text>
    </comment>
    <comment ref="J10" authorId="7" shapeId="0" xr:uid="{2208AEB2-C26D-4EA3-B9D9-898E24DC7735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the points  category tab for the complexity definitions. This needs to be aligned on complexity options.</t>
      </text>
    </comment>
    <comment ref="J11" authorId="8" shapeId="0" xr:uid="{A4F530B9-775C-467B-A251-768A56FC7908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Points Category tab for complexity definitions. Complexity Options are not aligned</t>
      </text>
    </comment>
    <comment ref="J14" authorId="9" shapeId="0" xr:uid="{8B0FF853-9BD7-4026-81DD-B00A70785664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J15" authorId="10" shapeId="0" xr:uid="{54DE7D53-46CA-47E6-BB8F-981D1EB54116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tc={CEA64BD6-933C-4805-BBAD-314BFDB1302D}</author>
    <author>tc={D0D3FB49-67D3-4FA0-ACCB-782829728A77}</author>
    <author>tc={5D58A536-9688-435E-8D63-F97B86B33DEF}</author>
    <author>tc={FE64A1B7-3C32-478A-B15E-EBE5B12C0B77}</author>
    <author>tc={CB2190E1-A986-4D22-A80C-678805B241CB}</author>
    <author>tc={DDD25904-F8F2-4B2D-9070-21D47D6D339F}</author>
    <author>tc={EBD39F01-252E-41A0-AB6B-9AAE61C0891E}</author>
    <author>tc={CBCD9655-700A-452C-9727-A1D6A8C2D903}</author>
    <author>tc={40931317-89C1-42E8-8004-A6FEB4EBD628}</author>
    <author>tc={188BADCF-C41C-47B0-94DF-0325EF0F96B4}</author>
    <author>tc={F2D4A32C-8CBC-4AA4-BF1D-1D477ABBDE3E}</author>
    <author>tc={EBD7FA93-E149-4D49-BAE9-880687E57957}</author>
    <author>tc={3B1887C4-1730-4056-B1AD-3351EEBC702C}</author>
    <author>tc={DACFE21F-58AC-409B-AB84-D17E539631F6}</author>
    <author>tc={F80050DD-FA02-456F-A23A-BB79DDDE2A3A}</author>
    <author>tc={6C0EDBFC-C684-468C-923A-1FFB0A26A721}</author>
    <author>tc={FFD63815-B725-4DCD-BD44-0165057C946B}</author>
    <author>tc={BD0B24B2-FF9C-43AB-B70C-78492763F80E}</author>
    <author>tc={7032709C-FB39-4577-95A4-2775D470F7B1}</author>
    <author>tc={C88EA587-6C91-4396-BCE7-A0CAA244A734}</author>
    <author>tc={77FF0FA1-A2BF-4436-88B4-87C78A49C818}</author>
    <author>tc={63AC925F-178B-49A4-B80F-99D4006C68F5}</author>
  </authors>
  <commentList>
    <comment ref="B16" authorId="0" shapeId="0" xr:uid="{CEA64BD6-933C-4805-BBAD-314BFDB1302D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regression efforts from QA</t>
      </text>
    </comment>
    <comment ref="B21" authorId="1" shapeId="0" xr:uid="{D0D3FB49-67D3-4FA0-ACCB-782829728A77}">
      <text>
        <t>[Threaded comment]
Your version of Excel allows you to read this threaded comment; however, any edits to it will get removed if the file is opened in a newer version of Excel. Learn more: https://go.microsoft.com/fwlink/?linkid=870924
Comment:
    Efforts to points are not matching; Should change the task type to Snapshot Cube.</t>
      </text>
    </comment>
    <comment ref="B23" authorId="2" shapeId="0" xr:uid="{5D58A536-9688-435E-8D63-F97B86B33DEF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impact analysis and regression efforts</t>
      </text>
    </comment>
    <comment ref="B26" authorId="3" shapeId="0" xr:uid="{FE64A1B7-3C32-478A-B15E-EBE5B12C0B7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What cases we go to historical data for as is analysis? Can this be covered in without audit data cases in above?
</t>
      </text>
    </comment>
    <comment ref="B27" authorId="4" shapeId="0" xr:uid="{CB2190E1-A986-4D22-A80C-678805B241CB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 Same Module to be more specific</t>
      </text>
    </comment>
    <comment ref="B45" authorId="5" shapeId="0" xr:uid="{DDD25904-F8F2-4B2D-9070-21D47D6D339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Updated efforts for additional attributes.
</t>
      </text>
    </comment>
    <comment ref="B47" authorId="6" shapeId="0" xr:uid="{EBD39F01-252E-41A0-AB6B-9AAE61C0891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Updated efforts for additional aggregate fact based on snapshot fact created above
</t>
      </text>
    </comment>
    <comment ref="B48" authorId="7" shapeId="0" xr:uid="{CBCD9655-700A-452C-9727-A1D6A8C2D90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Is it similar to Reassignment Analysis? Estimates are provided with that assumption. Should discuss it in more detail.
</t>
      </text>
    </comment>
    <comment ref="B50" authorId="8" shapeId="0" xr:uid="{40931317-89C1-42E8-8004-A6FEB4EBD62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 have updated the efforts for new cube building for new module. OOTB supports ony base modules keyword cubes. This does not include new module efforts.
</t>
      </text>
    </comment>
    <comment ref="F79" authorId="9" shapeId="0" xr:uid="{188BADCF-C41C-47B0-94DF-0325EF0F96B4}">
      <text>
        <t>[Threaded comment]
Your version of Excel allows you to read this threaded comment; however, any edits to it will get removed if the file is opened in a newer version of Excel. Learn more: https://go.microsoft.com/fwlink/?linkid=870924
Comment:
    20% for platform overhead</t>
      </text>
    </comment>
    <comment ref="B84" authorId="10" shapeId="0" xr:uid="{F2D4A32C-8CBC-4AA4-BF1D-1D477ABBDE3E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can't we just call this complex add attribute?</t>
      </text>
    </comment>
    <comment ref="B86" authorId="11" shapeId="0" xr:uid="{EBD7FA93-E149-4D49-BAE9-880687E57957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does this require scoping?</t>
      </text>
    </comment>
    <comment ref="B87" authorId="12" shapeId="0" xr:uid="{3B1887C4-1730-4056-B1AD-3351EEBC702C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the points  category tab for the complexity definitions. This needs to be aligned on complexity options.</t>
      </text>
    </comment>
    <comment ref="B88" authorId="13" shapeId="0" xr:uid="{DACFE21F-58AC-409B-AB84-D17E539631F6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Points Category tab for complexity definitions. Complexity Options are not aligned</t>
      </text>
    </comment>
    <comment ref="B91" authorId="14" shapeId="0" xr:uid="{F80050DD-FA02-456F-A23A-BB79DDDE2A3A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3" authorId="15" shapeId="0" xr:uid="{6C0EDBFC-C684-468C-923A-1FFB0A26A721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G93" authorId="16" shapeId="0" xr:uid="{FFD63815-B725-4DCD-BD44-0165057C94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Modify this hours based on economy of scale
</t>
      </text>
    </comment>
    <comment ref="B96" authorId="17" shapeId="0" xr:uid="{BD0B24B2-FF9C-43AB-B70C-78492763F80E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7" authorId="18" shapeId="0" xr:uid="{7032709C-FB39-4577-95A4-2775D470F7B1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8" authorId="19" shapeId="0" xr:uid="{C88EA587-6C91-4396-BCE7-A0CAA244A734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9" authorId="20" shapeId="0" xr:uid="{77FF0FA1-A2BF-4436-88B4-87C78A49C818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100" authorId="21" shapeId="0" xr:uid="{63AC925F-178B-49A4-B80F-99D4006C68F5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<sst xmlns="http://schemas.openxmlformats.org/spreadsheetml/2006/main" count="1125" uniqueCount="316">
  <si>
    <t>Analytics</t>
  </si>
  <si>
    <t>Existing_Data_Model_Changes</t>
  </si>
  <si>
    <t>New_Data_Models</t>
  </si>
  <si>
    <t>New_Integrations</t>
  </si>
  <si>
    <t>Others</t>
  </si>
  <si>
    <t>Training</t>
  </si>
  <si>
    <t>Visualization_Development</t>
  </si>
  <si>
    <t>Change Analytics implementation</t>
  </si>
  <si>
    <t>Data Lineage Generation</t>
  </si>
  <si>
    <t>Add Passthrough Attribute (Text / Datetime/ Flag)</t>
  </si>
  <si>
    <t>Add SNOW Entity/Sys Audit field extraction to MDS</t>
  </si>
  <si>
    <t>New Report (No ETL Changes Required)</t>
  </si>
  <si>
    <t>New CSV File Integration (Comply to CSV Rules)</t>
  </si>
  <si>
    <t>Add New Table to ODS (ServiceNow)</t>
  </si>
  <si>
    <t>UAT environment maintainence (Only P&amp;G and Equifax)</t>
  </si>
  <si>
    <t>Training Preparation</t>
  </si>
  <si>
    <t>New dashboard (VI)</t>
  </si>
  <si>
    <t>Incident clustering implementation</t>
  </si>
  <si>
    <t>Add LOV Attribute</t>
  </si>
  <si>
    <t>Add/Modify new columns to Entity ( CSV File)</t>
  </si>
  <si>
    <t>New Report (ETL Change Required)</t>
  </si>
  <si>
    <t>New ODBC Source Integration (Comply with RDBMS Rules)</t>
  </si>
  <si>
    <t>Add New Table to ODS (ODBC)</t>
  </si>
  <si>
    <t>Analysis and estimation Requirements</t>
  </si>
  <si>
    <t>Additional hour of training</t>
  </si>
  <si>
    <t>Add Reference Attribute (Existing Dimension)</t>
  </si>
  <si>
    <t>Add/Modify new columns to Entity (RDBMS)</t>
  </si>
  <si>
    <t>New M:M  Cube (Two Attributes No Metrics) Requires new fact 1:M Glide list also included</t>
  </si>
  <si>
    <t>New S3 Source Integration</t>
  </si>
  <si>
    <t>Add New Table to ODS (JIRA)</t>
  </si>
  <si>
    <t>Batch execution in Dev(multiple times)/UAT/PROD (1 time)</t>
  </si>
  <si>
    <t>Implement DD using Numerify template</t>
  </si>
  <si>
    <t>Add Reference Attribute (If Dimension Does not Exist)</t>
  </si>
  <si>
    <t>Add/Modify new columns to Entity (JIRA)</t>
  </si>
  <si>
    <t>Create Relationships (Bridge Tables)</t>
  </si>
  <si>
    <t>New API Source Integration</t>
  </si>
  <si>
    <t>Review SQL and Add New Indexes to Optimize Performance</t>
  </si>
  <si>
    <t>Deployment activities (version creation and promotion/deployment)</t>
  </si>
  <si>
    <t>Implement multiple tab DD using Numerify template</t>
  </si>
  <si>
    <t>Add Attribute Based on SYS_AUDIT Activity (Date)</t>
  </si>
  <si>
    <t>Add/Modify new columns to Entity (Excel)</t>
  </si>
  <si>
    <t>New Cube (Small &lt;10 objects) Requires new fact</t>
  </si>
  <si>
    <t>Modify API Integration</t>
  </si>
  <si>
    <t>Developing a New Query (Need to Identify Complexity Unit)</t>
  </si>
  <si>
    <t>Data replication</t>
  </si>
  <si>
    <t>Modify document</t>
  </si>
  <si>
    <t>Add Attribute Numerify Generated Logic</t>
  </si>
  <si>
    <t>New Cube (Medium &gt;10 &amp; &lt;30 objects) Requires new fact</t>
  </si>
  <si>
    <t>New Excel Source Integration(Only single table per sheet with proper table structure)</t>
  </si>
  <si>
    <t>Regression</t>
  </si>
  <si>
    <t>Adding / Modify Base Metric</t>
  </si>
  <si>
    <t>New Cube (Large &gt;30 &amp; &lt;50 Objects) Requires new fact</t>
  </si>
  <si>
    <t>New XML/Json Integration</t>
  </si>
  <si>
    <t>Platform Overheads/Slowness/Merge Issues (On Current released version)</t>
  </si>
  <si>
    <t>Adding / Modify Filtered Metric</t>
  </si>
  <si>
    <t>New M:M  Cube (Two Attributes No Metrics) View Change Only</t>
  </si>
  <si>
    <t>New Google Smartsheet Integration (Simple sheet with tabular details)</t>
  </si>
  <si>
    <t>Adding / Modify Derived Metric (Numerify Generated)</t>
  </si>
  <si>
    <t>New Cube (Small &lt;10 objects) View Change Only</t>
  </si>
  <si>
    <t>New SFTP Integration(CSV Only)</t>
  </si>
  <si>
    <t>Adding / Modify Level Based Metric</t>
  </si>
  <si>
    <t>New Cube (Medium &gt;10 &amp; &lt;30 objects) View Change Only</t>
  </si>
  <si>
    <t>New Email Integration (CSV Only)</t>
  </si>
  <si>
    <t>Add Existing Attribute to Cube (No ETL Required)</t>
  </si>
  <si>
    <t>New Cube (Large &gt;30 &amp; &lt;50 Objects) View Change Only</t>
  </si>
  <si>
    <t>Add Existing Attribute to Cube (View Change Required)</t>
  </si>
  <si>
    <t>New M:M  Cube (Two Attributes No Metrics) MSTR Only</t>
  </si>
  <si>
    <t>Add Text Field to Existing Keyword Analysis</t>
  </si>
  <si>
    <t>New Cube (Small &lt;10 objects) MSTR Only</t>
  </si>
  <si>
    <t>Custom calendar</t>
  </si>
  <si>
    <t>New Cube (Medium &gt;10 &amp; &lt;30 objects) MSTR Only</t>
  </si>
  <si>
    <t>Include new metric or attribute as part of snapshot/aggregate- (audit data)</t>
  </si>
  <si>
    <t>New Cube (Large &gt;30 &amp; &lt;50 Objects) MSTR Only</t>
  </si>
  <si>
    <t>Include new metric or attribute as part of snapshot/aggregate- (does not include audit data)</t>
  </si>
  <si>
    <t>New snapshot without audit data (X Breakdowns) ( 1-3 attributes)</t>
  </si>
  <si>
    <t>Enable SCD2 to existing table</t>
  </si>
  <si>
    <t>New snapshot without audit data (2X Breakdowns)(4-5 attributes)</t>
  </si>
  <si>
    <t>New snapshot without audit data (3X Breakdowns) (6-8 attributes)</t>
  </si>
  <si>
    <t>Update/Enable Landing Page</t>
  </si>
  <si>
    <t>New snapshot without audit data (4X Breakdowns) &gt;8</t>
  </si>
  <si>
    <t>New Hierarchy Cube (Small &lt;10 objects) Requires new fact</t>
  </si>
  <si>
    <t>New Hierarchy Cube (Small &lt;10 objects) View Change Only</t>
  </si>
  <si>
    <t>New Hierarchy Cube (Small &lt;10 objects) MSTR Only</t>
  </si>
  <si>
    <t>Implement SCD2 to new table (with As-is analysis)</t>
  </si>
  <si>
    <t>Implement SCD2 to new table (with As-was analysis)</t>
  </si>
  <si>
    <t>Create Custom data freshness dataset</t>
  </si>
  <si>
    <t>Create Custom MDM Module (For Multiple Sources)</t>
  </si>
  <si>
    <t>Custom User/Group Access Security Implementation (MSTR DD/VI Access)</t>
  </si>
  <si>
    <t>Custom Security Model ( Object Level Only)</t>
  </si>
  <si>
    <t>Custom Security Model (DataRow Level Security)</t>
  </si>
  <si>
    <t>Create Custom LoV Module(Domain level Lovs)</t>
  </si>
  <si>
    <t>Create a Sales Invoice in this worksheet. Helpful instructions on how to use this worksheet are in cells in this column. Arrow down to get started.</t>
  </si>
  <si>
    <t>Enter Company Logo in cell at right. Title of this worksheet is in cell D2.</t>
  </si>
  <si>
    <t>Logo placeholder is in this cell.</t>
  </si>
  <si>
    <t>Bill of Materials</t>
  </si>
  <si>
    <t>Enter Company Slogan in cell at right and Invoice number in cell H4.</t>
  </si>
  <si>
    <t>Date:</t>
  </si>
  <si>
    <t>Support Ticket #</t>
  </si>
  <si>
    <t>Platform Overhead Rate(%)</t>
  </si>
  <si>
    <t>Data Patching Version/Creation (Hrs)</t>
  </si>
  <si>
    <t>CSMPTS JIRA #</t>
  </si>
  <si>
    <t>Request Desc.</t>
  </si>
  <si>
    <t>Customer</t>
  </si>
  <si>
    <t>Enter information in Invoice table starting in cell at right. Total Discount, Subtotal, and Total are auto calculated. Next instruction is in cell A41.</t>
  </si>
  <si>
    <t>Qty</t>
  </si>
  <si>
    <t>Task Type</t>
  </si>
  <si>
    <t>Item #</t>
  </si>
  <si>
    <t>Description</t>
  </si>
  <si>
    <t>Points Category</t>
  </si>
  <si>
    <t>Points</t>
  </si>
  <si>
    <t>Points Total</t>
  </si>
  <si>
    <t>Hours</t>
  </si>
  <si>
    <t>Existing Data Model Changes</t>
  </si>
  <si>
    <t>CSM</t>
  </si>
  <si>
    <t>TAM</t>
  </si>
  <si>
    <t>Delivery Lead</t>
  </si>
  <si>
    <t>ETL</t>
  </si>
  <si>
    <t>MSTR</t>
  </si>
  <si>
    <t>QA</t>
  </si>
  <si>
    <t>Other Resource Type</t>
  </si>
  <si>
    <t>Other Hours</t>
  </si>
  <si>
    <t>Dev Time (Excl. CSM/TAM)</t>
  </si>
  <si>
    <t>Exec Time</t>
  </si>
  <si>
    <t>Points Complexity</t>
  </si>
  <si>
    <t>Points Category Cost</t>
  </si>
  <si>
    <t>Add/Modify Attribute</t>
  </si>
  <si>
    <t>Simple</t>
  </si>
  <si>
    <t>Standard</t>
  </si>
  <si>
    <t>Complex</t>
  </si>
  <si>
    <t>Add/Modify Metric</t>
  </si>
  <si>
    <t>New Numerify Reference Table</t>
  </si>
  <si>
    <t>Enable Attribute to Retain All History</t>
  </si>
  <si>
    <t>Add/Update  Configurable Hierarchies (OOTB feature)</t>
  </si>
  <si>
    <t>Update Landing Page Dashboards</t>
  </si>
  <si>
    <t>ODS/MDS Changes</t>
  </si>
  <si>
    <t>New Source Table to ODS (Existing API)</t>
  </si>
  <si>
    <t>New Source Table to ODS (Existing RDBMS)</t>
  </si>
  <si>
    <t>Add New Column to Existing Integration</t>
  </si>
  <si>
    <t>New Data Models</t>
  </si>
  <si>
    <t>New Dataset (i.e. Report or Cube) (XS - &lt;=3 Objects)</t>
  </si>
  <si>
    <t>New Dataset (i.e. Report or Cube) (SM - &lt;=10 Objects)</t>
  </si>
  <si>
    <t>New Dataset (i.e. Report or Cube) (MD - &lt;=30 Objects)</t>
  </si>
  <si>
    <t>New Dataset (i.e. Report or Cube) (LG - &lt;=50 Objects)</t>
  </si>
  <si>
    <t>New Snapshot Cube</t>
  </si>
  <si>
    <t>Additional Calendar(daily/weekly/monthly) aggregate snapshot fact (Upto 5 attributes)</t>
  </si>
  <si>
    <t>Additional Calendar Aggregate (Existing Snapshot)</t>
  </si>
  <si>
    <t>Populate Existing Snapshot with Historical Data (As Is Analysis)</t>
  </si>
  <si>
    <t>Populating Historical Snapshot Cube</t>
  </si>
  <si>
    <t>Populate Existing Snapshot with Historical Data (As Was Analysis &lt;=5 Same Module)</t>
  </si>
  <si>
    <t>Populate Existing Snapshot with Historical Data (As Was Analysis &gt;5 and &lt;=10 Same Module)</t>
  </si>
  <si>
    <t xml:space="preserve"> New Audit Analysis (1 Field, 3 New Metrics) </t>
  </si>
  <si>
    <t>New Audit / Activity Cube</t>
  </si>
  <si>
    <t xml:space="preserve"> New Audit Analysis (2 Field, 5 New Metrics) - Same Module</t>
  </si>
  <si>
    <t>Keyword Analysis For New Module( Only Keyword Cube)</t>
  </si>
  <si>
    <t>Add Text Analysis to Module Up to 2 Text Fields</t>
  </si>
  <si>
    <t>New Integrations</t>
  </si>
  <si>
    <t>New Source Integration (CSV)</t>
  </si>
  <si>
    <t>New Source Integration (ODBC)</t>
  </si>
  <si>
    <t>New Source Integration (API)</t>
  </si>
  <si>
    <t>New Source Integration (XLS)</t>
  </si>
  <si>
    <t>New Source Integration (GoogleSheet/Smartsheet)</t>
  </si>
  <si>
    <t>Training &amp; Prep (Onsite)</t>
  </si>
  <si>
    <t>Visualization Development</t>
  </si>
  <si>
    <t>New Dossier</t>
  </si>
  <si>
    <t>Modify Dossier</t>
  </si>
  <si>
    <t>New Document</t>
  </si>
  <si>
    <t>Modify Document</t>
  </si>
  <si>
    <t>Documentaton</t>
  </si>
  <si>
    <t>Document Customized Data Model Lineage</t>
  </si>
  <si>
    <t>Attribute/MetricLineage</t>
  </si>
  <si>
    <t>Provide Lineage of Single Attribute/Metric</t>
  </si>
  <si>
    <t>Requires Scoping</t>
  </si>
  <si>
    <t>-</t>
  </si>
  <si>
    <t>ODS SQL Development &amp; Optimization (Standard Query)</t>
  </si>
  <si>
    <t>Populate Existing Snapshot with Historical Data (As Was Analysis &gt;10 objects Same Module)</t>
  </si>
  <si>
    <t>Scoping**</t>
  </si>
  <si>
    <t>Data Model Changes</t>
  </si>
  <si>
    <t>Category</t>
  </si>
  <si>
    <t>Menu Item</t>
  </si>
  <si>
    <t>Advanced Analytics</t>
  </si>
  <si>
    <t>Change Risk Prediction (Model Training)</t>
  </si>
  <si>
    <t>Pending</t>
  </si>
  <si>
    <t>Incident Clustering (Model Training)</t>
  </si>
  <si>
    <t>New Classification Model Developing</t>
  </si>
  <si>
    <t>New Predictive Model Developing</t>
  </si>
  <si>
    <t>Consulting</t>
  </si>
  <si>
    <t>Prototype Development</t>
  </si>
  <si>
    <t>Roadmap Development</t>
  </si>
  <si>
    <t>Documentation</t>
  </si>
  <si>
    <t>Copy Cube with New Filter</t>
  </si>
  <si>
    <t>*Scoping</t>
  </si>
  <si>
    <t>New Dataset (i.e. Report or Cube) (XL - &gt;50 Objects)</t>
  </si>
  <si>
    <t>ODS SQL Development &amp; Optimization (Simple Query)</t>
  </si>
  <si>
    <t>New Source Integration (XML/JSON)</t>
  </si>
  <si>
    <t>Subscription Operations</t>
  </si>
  <si>
    <t>Attribute/Metric Renames</t>
  </si>
  <si>
    <t>Configure Email Report Distribution</t>
  </si>
  <si>
    <t>ETL Scheduling Changes</t>
  </si>
  <si>
    <t>Remove Attribute from Cube</t>
  </si>
  <si>
    <t>Training &amp; Prep (Offsite)</t>
  </si>
  <si>
    <t>Dashboard / Report Optimization</t>
  </si>
  <si>
    <t>Scoping*</t>
  </si>
  <si>
    <t>1 week of Visualization Work (Agile)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</si>
  <si>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Add Passthrough Attribute from Primary Table, Add Existing Attribute to Existing Cube (No ETL)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>LOV,</t>
    </r>
    <r>
      <rPr>
        <b/>
        <sz val="11"/>
        <color theme="1"/>
        <rFont val="Arial"/>
        <family val="2"/>
        <scheme val="minor"/>
      </rPr>
      <t xml:space="preserve"> </t>
    </r>
    <r>
      <rPr>
        <sz val="10"/>
        <rFont val="Arial"/>
        <family val="2"/>
      </rPr>
      <t xml:space="preserve">Reference, Attribute Requiring One Table Join, Multi-Select field (into separated List)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 xml:space="preserve">Audit History Based Analysis, Numerify Generated Attribute, Attribute Requiring Multiple Table Joins, Add Attribute to Snapshot Cube
</t>
    </r>
    <r>
      <rPr>
        <b/>
        <sz val="11"/>
        <color theme="1"/>
        <rFont val="Arial"/>
        <family val="2"/>
        <scheme val="minor"/>
      </rPr>
      <t>*Note - Multi-Select Choice List as a M:M mapping table charged as New Dataset (XS)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</si>
  <si>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Passthrough from source or conditional metrics derived from existing metrics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Numerify Generated Metrics (requiring one case/if statement and no more than 2 source factors) &amp; Level Metrics with 1 level
</t>
    </r>
    <r>
      <rPr>
        <b/>
        <sz val="11"/>
        <color theme="1"/>
        <rFont val="Arial"/>
        <family val="2"/>
        <scheme val="minor"/>
      </rPr>
      <t>Complex:</t>
    </r>
    <r>
      <rPr>
        <sz val="10"/>
        <rFont val="Arial"/>
        <family val="2"/>
      </rPr>
      <t xml:space="preserve"> Numerify Generated Metrics (requiring more than one case/if statement OR more than 2 source factors) &amp; Level Metrics with more than one level to be supported
</t>
    </r>
    <r>
      <rPr>
        <b/>
        <sz val="11"/>
        <color theme="1"/>
        <rFont val="Arial"/>
        <family val="2"/>
        <scheme val="minor"/>
      </rPr>
      <t>*All Attributes required for logic above must previously exist or be built separately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</si>
  <si>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No ETL Required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ETL Changes Required. *Assumes 66% of objects are passthrough. Up to one (1) new table from existing source included. Additional sources or source tables charged incrementally
</t>
    </r>
    <r>
      <rPr>
        <b/>
        <sz val="11"/>
        <color theme="1"/>
        <rFont val="Arial"/>
        <family val="2"/>
        <scheme val="minor"/>
      </rPr>
      <t>Complex:</t>
    </r>
    <r>
      <rPr>
        <sz val="10"/>
        <rFont val="Arial"/>
        <family val="2"/>
      </rPr>
      <t xml:space="preserve"> ETL Changes Above and beyond assumptions made in Standard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</si>
  <si>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&lt;=3 joined tables and No Nested Queries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&lt;=6 joined tables AND &lt;2 nested queries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&lt;=10 joined tables AND &lt;=4 nested queries</t>
    </r>
  </si>
  <si>
    <t>Per Attribute</t>
  </si>
  <si>
    <t>Ex: Custom Calendar Definition, Other sources tables configured as data sources included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</si>
  <si>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&lt;3 Object Breakdowns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&lt;=5 Object Breakdowns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&lt;= 8 Object Breakdowns
*Assumes all breakdowns are existing attributes (previously modelled).</t>
    </r>
  </si>
  <si>
    <t>Per Calendar Attribute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</si>
  <si>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Audit History on 1 Source Field and up to 10 existing module attributes and 3 new metrics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Audit History on 2 Source Field and up to 20 existing module attribute and 5 new metrics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 xml:space="preserve">
*Assumes 3 new attributes per source field. All other attributes are existing (previously modelled).</t>
    </r>
  </si>
  <si>
    <r>
      <rPr>
        <b/>
        <sz val="1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As Is based Query
</t>
    </r>
    <r>
      <rPr>
        <b/>
        <sz val="11"/>
        <rFont val="Arial"/>
        <family val="2"/>
        <scheme val="minor"/>
      </rPr>
      <t>Standard:</t>
    </r>
    <r>
      <rPr>
        <sz val="10"/>
        <rFont val="Arial"/>
        <family val="2"/>
      </rPr>
      <t xml:space="preserve"> Requires Audit History Analysis &lt;=5 Breakdowns
</t>
    </r>
    <r>
      <rPr>
        <b/>
        <sz val="11"/>
        <rFont val="Arial"/>
        <family val="2"/>
        <scheme val="minor"/>
      </rPr>
      <t xml:space="preserve">Complex: </t>
    </r>
    <r>
      <rPr>
        <sz val="10"/>
        <rFont val="Arial"/>
        <family val="2"/>
      </rPr>
      <t>Requires Audit History Analysis &gt;5 Breakdowns</t>
    </r>
  </si>
  <si>
    <t>Per Field</t>
  </si>
  <si>
    <t>Keyword Configuration Only. New Data Model points charged separately based on Complexity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</si>
  <si>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Up to one Page Objects, Up to 6 visualizations, up to 1 dataset .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Up to two Page Objects and up to 15 visualizations, up to 2 datasets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understand complexity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</si>
  <si>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1 Layout, Up to two Panel Objects and Up to 8 attribute/metric/grid/graph objects.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1 Layout Up to ten Panel Objects and up to 25 attribute/metric/grid/graph objects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understnd complexity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</si>
  <si>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Changes to up to 2 visualizations on one Page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Changes to up to 8 visualizations on up to 2 pages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understand complexity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</si>
  <si>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Changes to up to 3 attribute/metric/grid/graph objects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Changes to up to 8 attribute/metric/grid/graph objects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understnd complexity</t>
    </r>
  </si>
  <si>
    <t>Per Table. Assumes Integration and NDC is previously deployed.</t>
  </si>
  <si>
    <t>Per Column</t>
  </si>
  <si>
    <t>Per file format</t>
  </si>
  <si>
    <t>Single Tab and single format</t>
  </si>
  <si>
    <t>Per tabular file</t>
  </si>
  <si>
    <t>Per API Endpoint</t>
  </si>
  <si>
    <t>Per ODBC Source</t>
  </si>
  <si>
    <t>Per XML/JSON File format</t>
  </si>
  <si>
    <t>Per Data Model</t>
  </si>
  <si>
    <t>2 hours = 1 unit</t>
  </si>
  <si>
    <t>1 hour = 1 unit. Includes Remote Meetings</t>
  </si>
  <si>
    <t>2 hours = 1 unit. Assumes Customer Caused Issue</t>
  </si>
  <si>
    <t>1 hour = 1 unit. Rounded up to the nearest whole unit</t>
  </si>
  <si>
    <t>Requires_Scoping</t>
  </si>
  <si>
    <t>ODS_MDS_Changes</t>
  </si>
  <si>
    <t>Discount % on pts</t>
  </si>
  <si>
    <t>Yes</t>
  </si>
  <si>
    <t>Does Tenant have a UAT Environment?</t>
  </si>
  <si>
    <t>Number of Modules</t>
  </si>
  <si>
    <t>Work Start Date</t>
  </si>
  <si>
    <t>Work End Date</t>
  </si>
  <si>
    <t>Production CR JIRA #</t>
  </si>
  <si>
    <t>Modify dashboard (VI) (Simple Changes only UI related)</t>
  </si>
  <si>
    <t>Subtotal</t>
  </si>
  <si>
    <t>Estimates (in hrs) per quantity</t>
  </si>
  <si>
    <t>Estimates (in hrs) for selected quantity</t>
  </si>
  <si>
    <t>ETL (hrs)</t>
  </si>
  <si>
    <t>MSTR (hrs)</t>
  </si>
  <si>
    <t>QA (hrs)</t>
  </si>
  <si>
    <t>Total</t>
  </si>
  <si>
    <t>Others (hrs)</t>
  </si>
  <si>
    <t>Total hrs</t>
  </si>
  <si>
    <t>Total days</t>
  </si>
  <si>
    <t>ETL/MSTR Start</t>
  </si>
  <si>
    <t>ETL/MSTR End</t>
  </si>
  <si>
    <t>Modify dashboard (VI) (Standard Changes)</t>
  </si>
  <si>
    <t>Modify dashboard (VI) (Complex Changes)</t>
  </si>
  <si>
    <t>Item Classification</t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</si>
  <si>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Changes to up to 3 attribute/metric/grid/graph objects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</si>
  <si>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Changes to up to 2 visualizations on one Page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</si>
  <si>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1 Layout, Up to two Panel Objects and Up to 8 attribute/metric/grid/graph objects.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</si>
  <si>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Up to one Page Objects, Up to 6 visualizations, up to 1 dataset .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</si>
  <si>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As Is based Query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</si>
  <si>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Add Passthrough Attribute from Primary Table, Add Existing Attribute to Existing Cube (No ETL)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</si>
  <si>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Passthrough from source or conditional metrics derived from existing metrics
*All Attributes required for logic above must previously exist or be built separately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</si>
  <si>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No ETL Required</t>
    </r>
  </si>
  <si>
    <r>
      <rPr>
        <b/>
        <u/>
        <sz val="10"/>
        <rFont val="Arial"/>
        <family val="2"/>
      </rPr>
      <t xml:space="preserve">Simple: </t>
    </r>
    <r>
      <rPr>
        <sz val="10"/>
        <rFont val="Arial"/>
        <family val="2"/>
      </rPr>
      <t>No ETL Required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</si>
  <si>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&lt;=3 joined tables and No Nested Queries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</si>
  <si>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&lt;3 Object Breakdowns
*Assumes all breakdowns are existing attributes (previously modelled).</t>
    </r>
  </si>
  <si>
    <r>
      <rPr>
        <b/>
        <u/>
        <sz val="10"/>
        <rFont val="Arial"/>
        <family val="2"/>
      </rPr>
      <t>Simple:</t>
    </r>
    <r>
      <rPr>
        <sz val="10"/>
        <rFont val="Arial"/>
        <family val="2"/>
      </rPr>
      <t xml:space="preserve"> Audit History on 1 Source Field and up to 10 existing module attributes and 3 new metrics
*Assumes 3 new attributes per source field. All other attributes are existing (previously modelled).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</si>
  <si>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LOV, Reference, Attribute Requiring One Table Join, Multi-Select field (into separated List)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</si>
  <si>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Numerify Generated Metrics (requiring one case/if statement and no more than 2 source factors) &amp; Level Metrics with 1 level
*All Attributes required for logic above must previously exist or be built separately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</si>
  <si>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ETL Changes Required. *Assumes 66% of objects are passthrough. Up to one (1) new table from existing source included. Additional sources or source tables charged incrementally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</si>
  <si>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&lt;=6 joined tables AND &lt;2 nested queries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</si>
  <si>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&lt;=5 Object Breakdowns
*Assumes all breakdowns are existing attributes (previously modelled).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</si>
  <si>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Audit History on 2 Source Field and up to 20 existing module attribute and 5 new metrics
*Assumes 3 new attributes per source field. All other attributes are existing (previously modelled).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</si>
  <si>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Requires Audit History Analysis &lt;=5 Breakdowns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</si>
  <si>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Up to two Page Objects and up to 15 visualizations, up to 2 datasets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</si>
  <si>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1 Layout Up to ten Panel Objects and up to 25 attribute/metric/grid/graph objects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</si>
  <si>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Changes to up to 8 visualizations on up to 2 pages</t>
    </r>
  </si>
  <si>
    <r>
      <rPr>
        <b/>
        <u/>
        <sz val="10"/>
        <rFont val="Arial"/>
        <family val="2"/>
      </rPr>
      <t>Standard:</t>
    </r>
    <r>
      <rPr>
        <sz val="10"/>
        <rFont val="Arial"/>
        <family val="2"/>
      </rPr>
      <t xml:space="preserve"> Changes to up to 8 attribute/metric/grid/graph objects</t>
    </r>
  </si>
  <si>
    <r>
      <t xml:space="preserve">
</t>
    </r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Audit History Based Analysis, Numerify Generated Attribute, Attribute Requiring Multiple Table Joins, Add Attribute to Snapshot Cube</t>
    </r>
  </si>
  <si>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Numerify Generated Metrics (requiring more than one case/if statement OR more than 2 source factors) &amp; Level Metrics with more than one level to be supported
*All Attributes required for logic above must previously exist or be built separately</t>
    </r>
  </si>
  <si>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ETL Changes Above and beyond assumptions made in Standard</t>
    </r>
  </si>
  <si>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&lt;=10 joined tables AND &lt;=4 nested queries</t>
    </r>
  </si>
  <si>
    <r>
      <rPr>
        <b/>
        <u/>
        <sz val="10"/>
        <rFont val="Arial"/>
        <family val="2"/>
      </rPr>
      <t xml:space="preserve">Complex: </t>
    </r>
    <r>
      <rPr>
        <sz val="10"/>
        <rFont val="Arial"/>
        <family val="2"/>
      </rPr>
      <t>&lt;= 8 Object Breakdowns
*Assumes all breakdowns are existing attributes (previously modelled).</t>
    </r>
  </si>
  <si>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Requires Audit History Analysis &gt;5 Breakdowns</t>
    </r>
  </si>
  <si>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Unlimited but requires custom scoping to understand complexity</t>
    </r>
  </si>
  <si>
    <r>
      <rPr>
        <b/>
        <u/>
        <sz val="10"/>
        <rFont val="Arial"/>
        <family val="2"/>
      </rPr>
      <t>Complex:</t>
    </r>
    <r>
      <rPr>
        <sz val="10"/>
        <rFont val="Arial"/>
        <family val="2"/>
      </rPr>
      <t xml:space="preserve"> Unlimited but requires custom scoping to understnd complexity</t>
    </r>
  </si>
  <si>
    <t>Description for customer to be filled by CSM/TAM</t>
  </si>
  <si>
    <t>Total Points</t>
  </si>
  <si>
    <t>point(s) per quantity</t>
  </si>
  <si>
    <t>Summary</t>
  </si>
  <si>
    <t>Pls fill</t>
  </si>
  <si>
    <t>Zendesk Ticket #</t>
  </si>
  <si>
    <t>Points Description</t>
  </si>
  <si>
    <t>Customer Initiative</t>
  </si>
  <si>
    <t>Column1</t>
  </si>
  <si>
    <t>Item</t>
  </si>
  <si>
    <t>Dropdown</t>
  </si>
  <si>
    <t>Fill Value</t>
  </si>
  <si>
    <t>Output</t>
  </si>
  <si>
    <t>A</t>
  </si>
  <si>
    <t>Excel to CSV</t>
  </si>
  <si>
    <t>Cube Creation</t>
  </si>
  <si>
    <t>Test</t>
  </si>
  <si>
    <t>B</t>
  </si>
  <si>
    <t>Total Points for the Customer Initiative: A is 9_x000D_
_x000D_
1. Customer Initiative: A_x000D_
Description: Excel to CSV_x000D_
Item Classification: New Source Integration (CSV)_x000D_
Qty: 1_x000D_
Category: Simple_x000D_
at 4 point(s) per quantity for 4 Total Points_x000D_
_x000D_
2. Customer Initiative: A_x000D_
Description: Test_x000D_
Item Classification: New Source Integration (XLS)_x000D_
Qty: 1_x000D_
Category: Simple_x000D_
at 5 point(s) per quantity for 5 Total Points</t>
  </si>
  <si>
    <t>Total Points for the Customer Initiative: B is 18_x000D_
_x000D_
1. Customer Initiative: B_x000D_
Description: Cube Creation_x000D_
Item Classification: New Dataset (i.e. Report or Cube) (MD - &lt;=30 Objects)_x000D_
Qty: 1_x000D_
Category: Standard_x000D_
at 18 point(s) per quantity for 18 Total Points</t>
  </si>
  <si>
    <t>Autopopulate</t>
  </si>
  <si>
    <t>DELV-19880</t>
  </si>
  <si>
    <t>ETL Changes for the Instance(Complex)</t>
  </si>
  <si>
    <t xml:space="preserve">ETL Changes for the Exisiting Application level dimension </t>
  </si>
  <si>
    <t>New Cube Should be build for the Instance</t>
  </si>
  <si>
    <t>New Cube Should be build for the Application</t>
  </si>
  <si>
    <t xml:space="preserve">Build New VI for the PS Reporting </t>
  </si>
  <si>
    <t xml:space="preserve">Need a Snapshot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</si>
</sst>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 * #,##0.00_ ;_ * \-#,##0.00_ ;_ * &quot;-&quot;??_ ;_ @_ "/>
    <numFmt numFmtId="165" formatCode="[$-409]mmmm\ d\,\ yyyy;@"/>
    <numFmt numFmtId="166" formatCode="m/d/yy;@"/>
  </numFmts>
  <fonts count="42" x14ac:knownFonts="1">
    <font>
      <sz val="10"/>
      <name val="Arial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8"/>
      <name val="Arial"/>
      <family val="2"/>
    </font>
    <font>
      <sz val="12"/>
      <color theme="1" tint="0.14999847407452621"/>
      <name val="Arial"/>
      <family val="2"/>
      <scheme val="minor"/>
    </font>
    <font>
      <sz val="10"/>
      <color theme="1" tint="0.14999847407452621"/>
      <name val="Arial"/>
      <family val="2"/>
      <scheme val="minor"/>
    </font>
    <font>
      <sz val="8"/>
      <color theme="1" tint="0.14999847407452621"/>
      <name val="Arial"/>
      <family val="2"/>
      <scheme val="minor"/>
    </font>
    <font>
      <sz val="9"/>
      <color theme="1" tint="0.14999847407452621"/>
      <name val="Arial"/>
      <family val="2"/>
      <scheme val="minor"/>
    </font>
    <font>
      <b/>
      <sz val="14"/>
      <color theme="5"/>
      <name val="Arial"/>
      <family val="2"/>
      <scheme val="major"/>
    </font>
    <font>
      <sz val="10"/>
      <name val="Arial"/>
      <family val="2"/>
      <scheme val="minor"/>
    </font>
    <font>
      <b/>
      <sz val="10"/>
      <color theme="5"/>
      <name val="Arial"/>
      <family val="2"/>
      <scheme val="minor"/>
    </font>
    <font>
      <sz val="10"/>
      <color theme="1" tint="0.14999847407452621"/>
      <name val="Arial"/>
      <family val="2"/>
      <scheme val="major"/>
    </font>
    <font>
      <sz val="12"/>
      <color theme="0"/>
      <name val="Arial"/>
      <family val="2"/>
      <scheme val="minor"/>
    </font>
    <font>
      <b/>
      <sz val="43"/>
      <color theme="7" tint="-0.24994659260841701"/>
      <name val="Arial"/>
      <family val="2"/>
      <scheme val="major"/>
    </font>
    <font>
      <sz val="10"/>
      <color theme="1" tint="0.34998626667073579"/>
      <name val="Arial"/>
      <family val="2"/>
      <scheme val="minor"/>
    </font>
    <font>
      <sz val="10"/>
      <color theme="0"/>
      <name val="Arial"/>
      <family val="2"/>
      <scheme val="minor"/>
    </font>
    <font>
      <sz val="8"/>
      <color theme="0"/>
      <name val="Arial"/>
      <family val="2"/>
      <scheme val="minor"/>
    </font>
    <font>
      <sz val="10"/>
      <name val="Arial"/>
      <family val="2"/>
    </font>
    <font>
      <b/>
      <sz val="11"/>
      <color theme="1"/>
      <name val="Arial"/>
      <family val="2"/>
      <scheme val="minor"/>
    </font>
    <font>
      <b/>
      <sz val="10"/>
      <name val="Arial"/>
      <family val="2"/>
      <scheme val="minor"/>
    </font>
    <font>
      <b/>
      <sz val="43"/>
      <color rgb="FFF28560"/>
      <name val="Arial"/>
      <family val="2"/>
      <scheme val="major"/>
    </font>
    <font>
      <b/>
      <sz val="14"/>
      <color theme="1"/>
      <name val="Arial"/>
      <family val="2"/>
      <scheme val="minor"/>
    </font>
    <font>
      <b/>
      <sz val="12"/>
      <color theme="1" tint="0.14999847407452621"/>
      <name val="Arial"/>
      <family val="2"/>
      <scheme val="minor"/>
    </font>
    <font>
      <b/>
      <sz val="11"/>
      <name val="Arial"/>
      <family val="2"/>
      <scheme val="minor"/>
    </font>
    <font>
      <sz val="10"/>
      <color theme="5"/>
      <name val="Arial"/>
      <family val="2"/>
      <scheme val="minor"/>
    </font>
    <font>
      <sz val="11"/>
      <name val="Arial"/>
      <family val="2"/>
    </font>
    <font>
      <b/>
      <u/>
      <sz val="10"/>
      <name val="Arial"/>
      <family val="2"/>
    </font>
    <font>
      <sz val="11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sz val="8"/>
      <name val="Arial"/>
      <family val="2"/>
    </font>
    <font>
      <b/>
      <sz val="10"/>
      <color theme="1" tint="0.14999847407452621"/>
      <name val="Arial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rgb="FFF28560"/>
        <bgColor indexed="64"/>
      </patternFill>
    </fill>
  </fills>
  <borders count="30">
    <border>
      <left/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/>
      <top/>
      <bottom style="thick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/>
      </left>
      <right/>
      <top/>
      <bottom style="thin">
        <color theme="5"/>
      </bottom>
      <diagonal/>
    </border>
    <border>
      <left style="medium">
        <color indexed="64"/>
      </left>
      <right/>
      <top/>
      <bottom style="thick">
        <color theme="5"/>
      </bottom>
      <diagonal/>
    </border>
    <border>
      <left/>
      <right style="medium">
        <color indexed="64"/>
      </right>
      <top/>
      <bottom style="thick">
        <color theme="5"/>
      </bottom>
      <diagonal/>
    </border>
    <border>
      <left style="medium">
        <color indexed="64"/>
      </left>
      <right style="thin">
        <color theme="5"/>
      </right>
      <top/>
      <bottom style="thin">
        <color theme="5"/>
      </bottom>
      <diagonal/>
    </border>
    <border>
      <left style="thin">
        <color theme="5"/>
      </left>
      <right style="medium">
        <color indexed="64"/>
      </right>
      <top/>
      <bottom style="thin">
        <color theme="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medium">
        <color indexed="64"/>
      </left>
      <right style="thin">
        <color theme="5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17">
    <xf numFmtId="0" fontId="0" fillId="0" borderId="0"/>
    <xf numFmtId="0" fontId="24" fillId="0" borderId="0" applyNumberFormat="0" applyFill="0" applyBorder="0" applyProtection="0">
      <alignment horizontal="left" vertical="center"/>
    </xf>
    <xf numFmtId="0" fontId="23" fillId="0" borderId="0">
      <alignment horizontal="right" vertical="center"/>
    </xf>
    <xf numFmtId="0" fontId="18" fillId="0" borderId="0">
      <alignment horizontal="left" vertical="center"/>
    </xf>
    <xf numFmtId="0" fontId="20" fillId="0" borderId="0">
      <alignment horizontal="right" vertical="top"/>
    </xf>
    <xf numFmtId="0" fontId="20" fillId="0" borderId="0">
      <alignment vertical="center"/>
    </xf>
    <xf numFmtId="0" fontId="19" fillId="0" borderId="0">
      <alignment horizontal="left"/>
    </xf>
    <xf numFmtId="9" fontId="27" fillId="0" borderId="0" applyFont="0" applyFill="0" applyBorder="0" applyAlignment="0" applyProtection="0"/>
    <xf numFmtId="0" fontId="12" fillId="0" borderId="0"/>
    <xf numFmtId="43" fontId="12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27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</cellStyleXfs>
  <cellXfs count="258">
    <xf numFmtId="0" fontId="0" fillId="0" borderId="0" xfId="0"/>
    <xf numFmtId="0" fontId="12" fillId="0" borderId="0" xfId="8"/>
    <xf numFmtId="0" fontId="12" fillId="0" borderId="0" xfId="8" applyAlignment="1">
      <alignment wrapText="1"/>
    </xf>
    <xf numFmtId="0" fontId="12" fillId="0" borderId="0" xfId="8" applyAlignment="1">
      <alignment horizontal="center"/>
    </xf>
    <xf numFmtId="0" fontId="12" fillId="0" borderId="5" xfId="8" applyBorder="1" applyAlignment="1">
      <alignment wrapText="1"/>
    </xf>
    <xf numFmtId="0" fontId="12" fillId="4" borderId="5" xfId="8" applyFill="1" applyBorder="1" applyAlignment="1">
      <alignment wrapText="1"/>
    </xf>
    <xf numFmtId="0" fontId="28" fillId="10" borderId="0" xfId="0" applyFont="1" applyFill="1"/>
    <xf numFmtId="0" fontId="0" fillId="0" borderId="0" xfId="0" applyAlignment="1">
      <alignment vertical="center"/>
    </xf>
    <xf numFmtId="0" fontId="0" fillId="0" borderId="0" xfId="0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horizontal="left" vertical="center" wrapText="1"/>
    </xf>
    <xf numFmtId="0" fontId="0" fillId="0" borderId="0" xfId="0" applyFill="1" applyBorder="1" applyAlignment="1">
      <alignment horizontal="center" vertical="center"/>
    </xf>
    <xf numFmtId="0" fontId="11" fillId="0" borderId="0" xfId="10" applyFill="1" applyBorder="1"/>
    <xf numFmtId="0" fontId="0" fillId="0" borderId="0" xfId="0" applyFill="1" applyBorder="1"/>
    <xf numFmtId="0" fontId="33" fillId="0" borderId="0" xfId="0" applyFont="1" applyFill="1" applyAlignment="1">
      <alignment wrapText="1"/>
    </xf>
    <xf numFmtId="0" fontId="11" fillId="0" borderId="5" xfId="10" applyBorder="1" applyAlignment="1" applyProtection="1">
      <alignment wrapText="1"/>
      <protection locked="0"/>
    </xf>
    <xf numFmtId="0" fontId="11" fillId="7" borderId="5" xfId="10" applyFill="1" applyBorder="1" applyAlignment="1" applyProtection="1">
      <alignment wrapText="1"/>
      <protection locked="0"/>
    </xf>
    <xf numFmtId="2" fontId="15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2" borderId="4" xfId="0" applyFont="1" applyFill="1" applyBorder="1" applyAlignment="1" applyProtection="1">
      <alignment horizontal="center" vertical="center" wrapText="1"/>
      <protection locked="0"/>
    </xf>
    <xf numFmtId="165" fontId="16" fillId="0" borderId="8" xfId="0" applyNumberFormat="1" applyFont="1" applyBorder="1" applyAlignment="1" applyProtection="1">
      <alignment horizontal="left"/>
      <protection locked="0"/>
    </xf>
    <xf numFmtId="0" fontId="15" fillId="0" borderId="0" xfId="0" applyNumberFormat="1" applyFont="1" applyBorder="1" applyAlignment="1" applyProtection="1">
      <alignment horizontal="center" vertical="center"/>
      <protection locked="0"/>
    </xf>
    <xf numFmtId="9" fontId="15" fillId="0" borderId="0" xfId="7" applyFont="1" applyBorder="1" applyAlignment="1" applyProtection="1">
      <alignment horizontal="center" vertical="center"/>
      <protection locked="0"/>
    </xf>
    <xf numFmtId="0" fontId="27" fillId="0" borderId="0" xfId="0" applyFont="1" applyFill="1" applyAlignment="1">
      <alignment wrapText="1"/>
    </xf>
    <xf numFmtId="0" fontId="10" fillId="0" borderId="0" xfId="10" applyFont="1" applyFill="1" applyBorder="1"/>
    <xf numFmtId="0" fontId="11" fillId="7" borderId="9" xfId="10" applyFill="1" applyBorder="1" applyAlignment="1" applyProtection="1">
      <alignment wrapText="1"/>
      <protection locked="0"/>
    </xf>
    <xf numFmtId="0" fontId="10" fillId="7" borderId="9" xfId="10" applyFont="1" applyFill="1" applyBorder="1" applyAlignment="1" applyProtection="1">
      <alignment wrapText="1"/>
      <protection locked="0"/>
    </xf>
    <xf numFmtId="0" fontId="0" fillId="0" borderId="5" xfId="0" applyBorder="1" applyAlignment="1">
      <alignment wrapText="1"/>
    </xf>
    <xf numFmtId="0" fontId="0" fillId="0" borderId="0" xfId="0" applyAlignment="1">
      <alignment wrapText="1"/>
    </xf>
    <xf numFmtId="0" fontId="0" fillId="12" borderId="5" xfId="0" applyFill="1" applyBorder="1" applyAlignment="1">
      <alignment wrapText="1"/>
    </xf>
    <xf numFmtId="0" fontId="0" fillId="12" borderId="9" xfId="0" applyFill="1" applyBorder="1"/>
    <xf numFmtId="0" fontId="0" fillId="12" borderId="5" xfId="0" applyFill="1" applyBorder="1"/>
    <xf numFmtId="0" fontId="0" fillId="12" borderId="9" xfId="0" applyFill="1" applyBorder="1" applyAlignment="1">
      <alignment wrapText="1"/>
    </xf>
    <xf numFmtId="0" fontId="0" fillId="12" borderId="10" xfId="0" applyFill="1" applyBorder="1"/>
    <xf numFmtId="0" fontId="9" fillId="0" borderId="5" xfId="10" applyFont="1" applyBorder="1" applyAlignment="1" applyProtection="1">
      <alignment wrapText="1"/>
      <protection locked="0"/>
    </xf>
    <xf numFmtId="0" fontId="9" fillId="12" borderId="5" xfId="10" applyFont="1" applyFill="1" applyBorder="1" applyAlignment="1" applyProtection="1">
      <alignment wrapText="1"/>
      <protection locked="0"/>
    </xf>
    <xf numFmtId="0" fontId="0" fillId="13" borderId="0" xfId="0" applyFill="1"/>
    <xf numFmtId="0" fontId="12" fillId="0" borderId="0" xfId="8" applyBorder="1" applyAlignment="1">
      <alignment wrapText="1"/>
    </xf>
    <xf numFmtId="0" fontId="12" fillId="4" borderId="0" xfId="8" applyFill="1" applyBorder="1" applyAlignment="1">
      <alignment wrapText="1"/>
    </xf>
    <xf numFmtId="0" fontId="7" fillId="0" borderId="5" xfId="10" applyFont="1" applyBorder="1" applyAlignment="1" applyProtection="1">
      <alignment wrapText="1"/>
      <protection locked="0"/>
    </xf>
    <xf numFmtId="0" fontId="7" fillId="8" borderId="5" xfId="10" applyFont="1" applyFill="1" applyBorder="1" applyAlignment="1" applyProtection="1">
      <alignment wrapText="1"/>
      <protection locked="0"/>
    </xf>
    <xf numFmtId="0" fontId="25" fillId="0" borderId="0" xfId="0" applyFont="1" applyAlignment="1" applyProtection="1">
      <alignment wrapText="1"/>
      <protection locked="0"/>
    </xf>
    <xf numFmtId="0" fontId="15" fillId="0" borderId="0" xfId="0" applyFont="1" applyProtection="1"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5" fillId="0" borderId="0" xfId="0" applyNumberFormat="1" applyFont="1" applyProtection="1">
      <protection locked="0"/>
    </xf>
    <xf numFmtId="2" fontId="15" fillId="0" borderId="0" xfId="0" applyNumberFormat="1" applyFont="1" applyProtection="1">
      <protection locked="0"/>
    </xf>
    <xf numFmtId="0" fontId="15" fillId="0" borderId="0" xfId="0" applyNumberFormat="1" applyFont="1" applyAlignment="1" applyProtection="1">
      <alignment horizontal="center" vertical="center"/>
      <protection locked="0"/>
    </xf>
    <xf numFmtId="0" fontId="25" fillId="0" borderId="0" xfId="0" applyFont="1" applyAlignment="1" applyProtection="1">
      <alignment vertical="top" wrapText="1"/>
      <protection locked="0"/>
    </xf>
    <xf numFmtId="0" fontId="15" fillId="0" borderId="0" xfId="0" applyFont="1" applyAlignment="1" applyProtection="1">
      <alignment vertical="top"/>
      <protection locked="0"/>
    </xf>
    <xf numFmtId="0" fontId="29" fillId="0" borderId="8" xfId="4" applyFont="1" applyBorder="1" applyAlignment="1" applyProtection="1">
      <alignment horizontal="right"/>
      <protection locked="0"/>
    </xf>
    <xf numFmtId="0" fontId="24" fillId="0" borderId="0" xfId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protection locked="0"/>
    </xf>
    <xf numFmtId="0" fontId="32" fillId="0" borderId="0" xfId="0" applyFont="1" applyBorder="1" applyAlignment="1" applyProtection="1">
      <alignment horizontal="left" vertical="center"/>
      <protection locked="0"/>
    </xf>
    <xf numFmtId="2" fontId="20" fillId="0" borderId="0" xfId="4" applyNumberFormat="1" applyProtection="1">
      <alignment horizontal="right" vertical="top"/>
      <protection locked="0"/>
    </xf>
    <xf numFmtId="0" fontId="29" fillId="0" borderId="5" xfId="4" applyFont="1" applyBorder="1" applyAlignment="1" applyProtection="1">
      <alignment horizontal="right"/>
      <protection locked="0"/>
    </xf>
    <xf numFmtId="0" fontId="20" fillId="0" borderId="0" xfId="4" applyNumberFormat="1" applyAlignment="1" applyProtection="1">
      <alignment horizontal="center" vertical="center"/>
      <protection locked="0"/>
    </xf>
    <xf numFmtId="1" fontId="34" fillId="0" borderId="0" xfId="4" applyNumberFormat="1" applyFont="1" applyAlignment="1" applyProtection="1">
      <alignment horizontal="center" vertical="top"/>
      <protection locked="0"/>
    </xf>
    <xf numFmtId="0" fontId="29" fillId="0" borderId="2" xfId="5" applyFont="1" applyBorder="1" applyAlignment="1" applyProtection="1">
      <alignment horizontal="center" vertical="center" wrapText="1"/>
      <protection locked="0"/>
    </xf>
    <xf numFmtId="0" fontId="25" fillId="0" borderId="0" xfId="0" applyFont="1" applyBorder="1" applyAlignment="1" applyProtection="1">
      <alignment wrapText="1"/>
      <protection locked="0"/>
    </xf>
    <xf numFmtId="0" fontId="16" fillId="0" borderId="0" xfId="0" applyNumberFormat="1" applyFont="1" applyFill="1" applyBorder="1" applyAlignment="1" applyProtection="1">
      <protection locked="0"/>
    </xf>
    <xf numFmtId="0" fontId="16" fillId="0" borderId="0" xfId="0" applyFont="1" applyFill="1" applyBorder="1" applyAlignment="1" applyProtection="1">
      <protection locked="0"/>
    </xf>
    <xf numFmtId="0" fontId="16" fillId="0" borderId="0" xfId="0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wrapText="1"/>
      <protection locked="0"/>
    </xf>
    <xf numFmtId="0" fontId="0" fillId="0" borderId="0" xfId="0" applyProtection="1">
      <protection locked="0"/>
    </xf>
    <xf numFmtId="0" fontId="16" fillId="0" borderId="0" xfId="0" applyFont="1" applyFill="1" applyAlignment="1" applyProtection="1">
      <protection locked="0"/>
    </xf>
    <xf numFmtId="0" fontId="16" fillId="0" borderId="0" xfId="0" applyFont="1" applyFill="1" applyAlignment="1" applyProtection="1">
      <alignment horizontal="center" vertical="center" wrapText="1"/>
      <protection locked="0"/>
    </xf>
    <xf numFmtId="0" fontId="16" fillId="0" borderId="0" xfId="0" applyFont="1" applyProtection="1">
      <protection locked="0"/>
    </xf>
    <xf numFmtId="0" fontId="29" fillId="0" borderId="2" xfId="5" applyFont="1" applyBorder="1" applyAlignment="1" applyProtection="1">
      <alignment horizontal="center" vertical="center" wrapText="1"/>
    </xf>
    <xf numFmtId="2" fontId="29" fillId="0" borderId="2" xfId="5" applyNumberFormat="1" applyFont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 wrapText="1"/>
      <protection locked="0"/>
    </xf>
    <xf numFmtId="0" fontId="15" fillId="2" borderId="3" xfId="0" applyFont="1" applyFill="1" applyBorder="1" applyAlignment="1" applyProtection="1">
      <alignment horizontal="center" vertical="center" wrapText="1"/>
      <protection locked="0"/>
    </xf>
    <xf numFmtId="166" fontId="15" fillId="2" borderId="0" xfId="0" applyNumberFormat="1" applyFont="1" applyFill="1" applyBorder="1" applyAlignment="1" applyProtection="1">
      <protection locked="0"/>
    </xf>
    <xf numFmtId="0" fontId="6" fillId="0" borderId="5" xfId="10" applyFont="1" applyBorder="1" applyAlignment="1" applyProtection="1">
      <alignment wrapText="1"/>
      <protection locked="0"/>
    </xf>
    <xf numFmtId="2" fontId="15" fillId="5" borderId="11" xfId="0" applyNumberFormat="1" applyFont="1" applyFill="1" applyBorder="1" applyAlignment="1" applyProtection="1">
      <alignment horizontal="center" vertical="center" wrapText="1"/>
    </xf>
    <xf numFmtId="0" fontId="29" fillId="0" borderId="12" xfId="5" applyNumberFormat="1" applyFont="1" applyBorder="1" applyAlignment="1" applyProtection="1">
      <alignment horizontal="center" vertical="center" wrapText="1"/>
    </xf>
    <xf numFmtId="2" fontId="29" fillId="0" borderId="13" xfId="5" applyNumberFormat="1" applyFont="1" applyBorder="1" applyAlignment="1" applyProtection="1">
      <alignment horizontal="center" vertical="center" wrapText="1"/>
    </xf>
    <xf numFmtId="0" fontId="29" fillId="0" borderId="5" xfId="4" applyFont="1" applyBorder="1" applyAlignment="1">
      <alignment horizontal="right"/>
    </xf>
    <xf numFmtId="0" fontId="5" fillId="7" borderId="5" xfId="10" applyFont="1" applyFill="1" applyBorder="1" applyAlignment="1" applyProtection="1">
      <alignment wrapText="1"/>
      <protection locked="0"/>
    </xf>
    <xf numFmtId="0" fontId="1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5" fillId="5" borderId="4" xfId="0" applyNumberFormat="1" applyFont="1" applyFill="1" applyBorder="1" applyAlignment="1" applyProtection="1">
      <alignment horizontal="center" vertical="center" wrapText="1"/>
    </xf>
    <xf numFmtId="165" fontId="17" fillId="0" borderId="5" xfId="0" applyNumberFormat="1" applyFont="1" applyBorder="1" applyAlignment="1" applyProtection="1">
      <alignment horizontal="left"/>
      <protection locked="0"/>
    </xf>
    <xf numFmtId="165" fontId="17" fillId="0" borderId="5" xfId="0" applyNumberFormat="1" applyFont="1" applyBorder="1" applyAlignment="1" applyProtection="1">
      <alignment horizontal="center" vertical="center"/>
      <protection locked="0"/>
    </xf>
    <xf numFmtId="1" fontId="15" fillId="5" borderId="14" xfId="0" applyNumberFormat="1" applyFont="1" applyFill="1" applyBorder="1" applyAlignment="1" applyProtection="1">
      <alignment horizontal="center" vertical="center" wrapText="1"/>
    </xf>
    <xf numFmtId="1" fontId="15" fillId="5" borderId="3" xfId="0" applyNumberFormat="1" applyFont="1" applyFill="1" applyBorder="1" applyAlignment="1" applyProtection="1">
      <alignment horizontal="center" vertical="center" wrapText="1"/>
    </xf>
    <xf numFmtId="1" fontId="15" fillId="5" borderId="15" xfId="0" applyNumberFormat="1" applyFont="1" applyFill="1" applyBorder="1" applyAlignment="1" applyProtection="1">
      <alignment horizontal="center" vertical="center" wrapText="1"/>
    </xf>
    <xf numFmtId="0" fontId="4" fillId="0" borderId="5" xfId="10" applyFont="1" applyBorder="1" applyAlignment="1" applyProtection="1">
      <alignment wrapText="1"/>
      <protection locked="0"/>
    </xf>
    <xf numFmtId="0" fontId="4" fillId="0" borderId="0" xfId="8" applyFont="1" applyAlignment="1">
      <alignment horizontal="center"/>
    </xf>
    <xf numFmtId="0" fontId="15" fillId="2" borderId="20" xfId="0" applyFont="1" applyFill="1" applyBorder="1" applyAlignment="1" applyProtection="1">
      <alignment horizontal="center" vertical="center" wrapText="1"/>
      <protection locked="0"/>
    </xf>
    <xf numFmtId="2" fontId="15" fillId="5" borderId="20" xfId="0" applyNumberFormat="1" applyFont="1" applyFill="1" applyBorder="1" applyAlignment="1" applyProtection="1">
      <alignment horizontal="center" vertical="center" wrapText="1"/>
    </xf>
    <xf numFmtId="166" fontId="15" fillId="2" borderId="0" xfId="0" applyNumberFormat="1" applyFont="1" applyFill="1" applyBorder="1" applyAlignment="1" applyProtection="1"/>
    <xf numFmtId="1" fontId="0" fillId="0" borderId="5" xfId="0" applyNumberFormat="1" applyBorder="1" applyAlignment="1" applyProtection="1">
      <alignment horizontal="center" vertical="center"/>
    </xf>
    <xf numFmtId="1" fontId="15" fillId="0" borderId="5" xfId="0" applyNumberFormat="1" applyFont="1" applyBorder="1" applyAlignment="1" applyProtection="1">
      <alignment horizontal="center" vertical="center"/>
    </xf>
    <xf numFmtId="1" fontId="0" fillId="0" borderId="5" xfId="0" applyNumberFormat="1" applyFont="1" applyBorder="1" applyAlignment="1" applyProtection="1">
      <alignment horizontal="center" vertical="center"/>
    </xf>
    <xf numFmtId="1" fontId="15" fillId="6" borderId="5" xfId="0" applyNumberFormat="1" applyFont="1" applyFill="1" applyBorder="1" applyProtection="1"/>
    <xf numFmtId="9" fontId="0" fillId="0" borderId="5" xfId="7" applyFont="1" applyBorder="1" applyAlignment="1" applyProtection="1">
      <alignment horizontal="center" vertical="center"/>
      <protection locked="0"/>
    </xf>
    <xf numFmtId="165" fontId="16" fillId="0" borderId="5" xfId="0" applyNumberFormat="1" applyFont="1" applyBorder="1" applyAlignment="1" applyProtection="1">
      <alignment horizontal="left"/>
    </xf>
    <xf numFmtId="165" fontId="16" fillId="0" borderId="8" xfId="0" applyNumberFormat="1" applyFont="1" applyBorder="1" applyAlignment="1" applyProtection="1">
      <alignment horizontal="left"/>
    </xf>
    <xf numFmtId="165" fontId="17" fillId="0" borderId="8" xfId="0" applyNumberFormat="1" applyFont="1" applyBorder="1" applyAlignment="1" applyProtection="1">
      <alignment horizontal="center" vertical="center"/>
      <protection locked="0"/>
    </xf>
    <xf numFmtId="0" fontId="12" fillId="0" borderId="5" xfId="8" applyBorder="1" applyProtection="1"/>
    <xf numFmtId="0" fontId="28" fillId="3" borderId="5" xfId="8" applyFont="1" applyFill="1" applyBorder="1" applyAlignment="1" applyProtection="1">
      <alignment wrapText="1"/>
    </xf>
    <xf numFmtId="0" fontId="31" fillId="3" borderId="5" xfId="8" applyFont="1" applyFill="1" applyBorder="1" applyAlignment="1" applyProtection="1">
      <alignment horizontal="center"/>
    </xf>
    <xf numFmtId="0" fontId="28" fillId="3" borderId="5" xfId="8" applyFont="1" applyFill="1" applyBorder="1" applyAlignment="1" applyProtection="1">
      <alignment horizontal="center"/>
    </xf>
    <xf numFmtId="0" fontId="28" fillId="3" borderId="5" xfId="10" applyFont="1" applyFill="1" applyBorder="1" applyAlignment="1" applyProtection="1">
      <alignment wrapText="1"/>
    </xf>
    <xf numFmtId="0" fontId="11" fillId="3" borderId="5" xfId="10" applyFill="1" applyBorder="1" applyAlignment="1" applyProtection="1">
      <alignment horizontal="center"/>
    </xf>
    <xf numFmtId="0" fontId="4" fillId="3" borderId="5" xfId="10" applyFont="1" applyFill="1" applyBorder="1" applyAlignment="1" applyProtection="1">
      <alignment horizontal="center"/>
    </xf>
    <xf numFmtId="0" fontId="11" fillId="0" borderId="5" xfId="10" applyBorder="1" applyProtection="1"/>
    <xf numFmtId="0" fontId="11" fillId="0" borderId="5" xfId="10" applyBorder="1" applyAlignment="1" applyProtection="1">
      <alignment wrapText="1"/>
    </xf>
    <xf numFmtId="0" fontId="11" fillId="0" borderId="5" xfId="10" applyBorder="1" applyAlignment="1" applyProtection="1">
      <alignment horizontal="center"/>
    </xf>
    <xf numFmtId="43" fontId="0" fillId="0" borderId="5" xfId="11" applyFont="1" applyBorder="1" applyAlignment="1" applyProtection="1">
      <alignment horizontal="center"/>
    </xf>
    <xf numFmtId="0" fontId="4" fillId="0" borderId="5" xfId="10" applyFont="1" applyBorder="1" applyAlignment="1" applyProtection="1">
      <alignment horizontal="center"/>
    </xf>
    <xf numFmtId="0" fontId="11" fillId="0" borderId="5" xfId="10" quotePrefix="1" applyBorder="1" applyAlignment="1" applyProtection="1">
      <alignment horizontal="center"/>
    </xf>
    <xf numFmtId="0" fontId="10" fillId="0" borderId="5" xfId="10" applyFont="1" applyBorder="1" applyProtection="1"/>
    <xf numFmtId="0" fontId="9" fillId="7" borderId="5" xfId="10" applyFont="1" applyFill="1" applyBorder="1" applyAlignment="1" applyProtection="1">
      <alignment wrapText="1"/>
    </xf>
    <xf numFmtId="0" fontId="7" fillId="7" borderId="5" xfId="10" applyFont="1" applyFill="1" applyBorder="1" applyAlignment="1" applyProtection="1">
      <alignment wrapText="1"/>
    </xf>
    <xf numFmtId="43" fontId="35" fillId="0" borderId="5" xfId="11" applyFont="1" applyBorder="1" applyAlignment="1" applyProtection="1">
      <alignment horizontal="center"/>
    </xf>
    <xf numFmtId="0" fontId="11" fillId="7" borderId="5" xfId="10" applyFill="1" applyBorder="1" applyAlignment="1" applyProtection="1">
      <alignment wrapText="1"/>
    </xf>
    <xf numFmtId="0" fontId="8" fillId="0" borderId="5" xfId="10" applyFont="1" applyBorder="1" applyAlignment="1" applyProtection="1">
      <alignment wrapText="1"/>
    </xf>
    <xf numFmtId="0" fontId="11" fillId="8" borderId="5" xfId="10" applyFill="1" applyBorder="1" applyAlignment="1" applyProtection="1">
      <alignment wrapText="1"/>
    </xf>
    <xf numFmtId="0" fontId="10" fillId="0" borderId="5" xfId="10" applyFont="1" applyBorder="1" applyAlignment="1" applyProtection="1">
      <alignment wrapText="1"/>
    </xf>
    <xf numFmtId="0" fontId="10" fillId="11" borderId="5" xfId="10" applyFont="1" applyFill="1" applyBorder="1" applyAlignment="1" applyProtection="1">
      <alignment wrapText="1"/>
    </xf>
    <xf numFmtId="0" fontId="10" fillId="8" borderId="5" xfId="10" applyFont="1" applyFill="1" applyBorder="1" applyAlignment="1" applyProtection="1">
      <alignment wrapText="1"/>
    </xf>
    <xf numFmtId="43" fontId="0" fillId="0" borderId="5" xfId="11" applyFont="1" applyBorder="1" applyAlignment="1" applyProtection="1">
      <alignment horizontal="left"/>
    </xf>
    <xf numFmtId="9" fontId="11" fillId="4" borderId="5" xfId="10" applyNumberFormat="1" applyFill="1" applyBorder="1" applyAlignment="1" applyProtection="1">
      <alignment horizontal="center"/>
    </xf>
    <xf numFmtId="9" fontId="11" fillId="0" borderId="5" xfId="10" applyNumberFormat="1" applyBorder="1" applyAlignment="1" applyProtection="1">
      <alignment horizontal="center"/>
    </xf>
    <xf numFmtId="0" fontId="11" fillId="7" borderId="5" xfId="10" applyFill="1" applyBorder="1" applyAlignment="1" applyProtection="1">
      <alignment horizontal="center"/>
    </xf>
    <xf numFmtId="0" fontId="7" fillId="0" borderId="5" xfId="10" applyFont="1" applyBorder="1" applyAlignment="1" applyProtection="1">
      <alignment wrapText="1"/>
    </xf>
    <xf numFmtId="0" fontId="7" fillId="8" borderId="5" xfId="10" applyFont="1" applyFill="1" applyBorder="1" applyAlignment="1" applyProtection="1">
      <alignment wrapText="1"/>
    </xf>
    <xf numFmtId="0" fontId="4" fillId="0" borderId="5" xfId="10" applyFont="1" applyBorder="1" applyProtection="1"/>
    <xf numFmtId="0" fontId="4" fillId="0" borderId="5" xfId="10" applyFont="1" applyBorder="1" applyAlignment="1" applyProtection="1">
      <alignment wrapText="1"/>
    </xf>
    <xf numFmtId="0" fontId="11" fillId="9" borderId="5" xfId="10" applyFill="1" applyBorder="1" applyProtection="1"/>
    <xf numFmtId="0" fontId="11" fillId="9" borderId="5" xfId="10" applyFill="1" applyBorder="1" applyAlignment="1" applyProtection="1">
      <alignment wrapText="1"/>
    </xf>
    <xf numFmtId="0" fontId="11" fillId="9" borderId="5" xfId="10" applyFill="1" applyBorder="1" applyAlignment="1" applyProtection="1">
      <alignment horizontal="center"/>
    </xf>
    <xf numFmtId="43" fontId="0" fillId="9" borderId="5" xfId="11" applyFont="1" applyFill="1" applyBorder="1" applyAlignment="1" applyProtection="1">
      <alignment horizontal="center"/>
    </xf>
    <xf numFmtId="0" fontId="6" fillId="0" borderId="5" xfId="10" applyFont="1" applyBorder="1" applyAlignment="1" applyProtection="1">
      <alignment wrapText="1"/>
    </xf>
    <xf numFmtId="0" fontId="12" fillId="0" borderId="5" xfId="8" applyBorder="1" applyAlignment="1" applyProtection="1">
      <alignment horizontal="center"/>
    </xf>
    <xf numFmtId="0" fontId="9" fillId="0" borderId="5" xfId="10" applyFont="1" applyBorder="1" applyAlignment="1" applyProtection="1">
      <alignment wrapText="1"/>
    </xf>
    <xf numFmtId="0" fontId="15" fillId="14" borderId="14" xfId="0" applyNumberFormat="1" applyFont="1" applyFill="1" applyBorder="1" applyAlignment="1" applyProtection="1">
      <alignment horizontal="center" vertical="center" wrapText="1"/>
    </xf>
    <xf numFmtId="2" fontId="15" fillId="14" borderId="3" xfId="0" applyNumberFormat="1" applyFont="1" applyFill="1" applyBorder="1" applyAlignment="1" applyProtection="1">
      <alignment horizontal="center" vertical="center" wrapText="1"/>
    </xf>
    <xf numFmtId="2" fontId="15" fillId="14" borderId="11" xfId="0" applyNumberFormat="1" applyFont="1" applyFill="1" applyBorder="1" applyAlignment="1" applyProtection="1">
      <alignment horizontal="center" vertical="center" wrapText="1"/>
    </xf>
    <xf numFmtId="0" fontId="3" fillId="0" borderId="5" xfId="10" applyFont="1" applyBorder="1" applyAlignment="1" applyProtection="1">
      <alignment wrapText="1"/>
      <protection locked="0"/>
    </xf>
    <xf numFmtId="0" fontId="15" fillId="14" borderId="21" xfId="0" applyNumberFormat="1" applyFont="1" applyFill="1" applyBorder="1" applyAlignment="1" applyProtection="1">
      <alignment horizontal="center" vertical="center" wrapText="1"/>
    </xf>
    <xf numFmtId="0" fontId="11" fillId="0" borderId="22" xfId="10" applyFill="1" applyBorder="1" applyAlignment="1" applyProtection="1">
      <alignment wrapText="1"/>
      <protection locked="0"/>
    </xf>
    <xf numFmtId="0" fontId="2" fillId="0" borderId="5" xfId="10" applyFont="1" applyBorder="1" applyAlignment="1" applyProtection="1">
      <alignment wrapText="1"/>
    </xf>
    <xf numFmtId="0" fontId="27" fillId="0" borderId="0" xfId="0" applyFont="1" applyFill="1" applyAlignment="1">
      <alignment vertical="center" wrapText="1"/>
    </xf>
    <xf numFmtId="0" fontId="28" fillId="10" borderId="0" xfId="0" applyFont="1" applyFill="1" applyAlignment="1">
      <alignment wrapText="1"/>
    </xf>
    <xf numFmtId="0" fontId="0" fillId="0" borderId="0" xfId="0" applyAlignment="1">
      <alignment vertical="center" wrapText="1"/>
    </xf>
    <xf numFmtId="0" fontId="37" fillId="0" borderId="0" xfId="0" applyFont="1" applyFill="1" applyAlignment="1">
      <alignment wrapText="1"/>
    </xf>
    <xf numFmtId="0" fontId="15" fillId="0" borderId="0" xfId="0" applyFont="1" applyAlignment="1" applyProtection="1">
      <alignment horizontal="center" vertical="center"/>
      <protection locked="0"/>
    </xf>
    <xf numFmtId="166" fontId="15" fillId="2" borderId="0" xfId="0" applyNumberFormat="1" applyFont="1" applyFill="1" applyBorder="1" applyAlignment="1" applyProtection="1">
      <alignment horizontal="center" vertical="center"/>
      <protection locked="0"/>
    </xf>
    <xf numFmtId="166" fontId="15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5" fillId="12" borderId="0" xfId="0" applyFont="1" applyFill="1" applyAlignment="1" applyProtection="1">
      <alignment horizontal="center" vertical="center" wrapText="1"/>
      <protection locked="0"/>
    </xf>
    <xf numFmtId="0" fontId="15" fillId="13" borderId="0" xfId="0" applyFont="1" applyFill="1" applyAlignment="1" applyProtection="1">
      <alignment horizontal="center" vertical="center" wrapText="1"/>
      <protection locked="0"/>
    </xf>
    <xf numFmtId="0" fontId="29" fillId="12" borderId="8" xfId="5" applyFont="1" applyFill="1" applyBorder="1" applyAlignment="1" applyProtection="1">
      <alignment horizontal="center" vertical="center" wrapText="1"/>
    </xf>
    <xf numFmtId="0" fontId="0" fillId="0" borderId="10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/>
    </xf>
    <xf numFmtId="0" fontId="15" fillId="12" borderId="0" xfId="0" applyFont="1" applyFill="1" applyAlignment="1" applyProtection="1">
      <alignment horizontal="center" vertical="center"/>
    </xf>
    <xf numFmtId="0" fontId="15" fillId="0" borderId="19" xfId="0" applyNumberFormat="1" applyFont="1" applyBorder="1" applyAlignment="1" applyProtection="1">
      <alignment horizontal="center" vertical="center"/>
    </xf>
    <xf numFmtId="0" fontId="27" fillId="0" borderId="9" xfId="0" applyFont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6" xfId="0" applyBorder="1" applyAlignment="1" applyProtection="1">
      <alignment horizontal="center" vertical="center" wrapText="1"/>
      <protection locked="0"/>
    </xf>
    <xf numFmtId="0" fontId="27" fillId="0" borderId="24" xfId="0" applyFont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left" vertical="center" wrapText="1"/>
      <protection locked="0"/>
    </xf>
    <xf numFmtId="0" fontId="25" fillId="6" borderId="0" xfId="0" applyFont="1" applyFill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left" vertical="center" wrapText="1"/>
    </xf>
    <xf numFmtId="0" fontId="27" fillId="0" borderId="5" xfId="0" applyFont="1" applyBorder="1" applyAlignment="1" applyProtection="1">
      <alignment horizontal="center" vertical="center" wrapText="1"/>
    </xf>
    <xf numFmtId="0" fontId="38" fillId="6" borderId="5" xfId="5" applyFont="1" applyFill="1" applyBorder="1" applyAlignment="1" applyProtection="1">
      <alignment horizontal="center" vertical="center" wrapText="1"/>
    </xf>
    <xf numFmtId="0" fontId="29" fillId="12" borderId="5" xfId="5" applyFont="1" applyFill="1" applyBorder="1" applyAlignment="1" applyProtection="1">
      <alignment horizontal="center" vertical="center" wrapText="1"/>
    </xf>
    <xf numFmtId="0" fontId="29" fillId="13" borderId="9" xfId="5" applyFont="1" applyFill="1" applyBorder="1" applyAlignment="1" applyProtection="1">
      <alignment horizontal="center" vertical="center" wrapText="1"/>
      <protection locked="0"/>
    </xf>
    <xf numFmtId="0" fontId="19" fillId="0" borderId="5" xfId="0" applyFont="1" applyBorder="1" applyAlignment="1" applyProtection="1">
      <alignment horizontal="center" vertical="center" wrapText="1"/>
      <protection locked="0"/>
    </xf>
    <xf numFmtId="0" fontId="19" fillId="0" borderId="9" xfId="0" applyFont="1" applyBorder="1" applyAlignment="1" applyProtection="1">
      <alignment horizontal="center" vertical="center" wrapText="1"/>
      <protection locked="0"/>
    </xf>
    <xf numFmtId="0" fontId="27" fillId="0" borderId="5" xfId="0" applyFont="1" applyBorder="1" applyAlignment="1">
      <alignment wrapText="1"/>
    </xf>
    <xf numFmtId="0" fontId="0" fillId="0" borderId="25" xfId="0" applyNumberFormat="1" applyBorder="1" applyAlignment="1" applyProtection="1">
      <alignment horizontal="center" vertical="center"/>
    </xf>
    <xf numFmtId="0" fontId="0" fillId="0" borderId="19" xfId="0" applyNumberFormat="1" applyBorder="1" applyAlignment="1" applyProtection="1">
      <alignment horizontal="center" vertical="center" wrapText="1"/>
    </xf>
    <xf numFmtId="0" fontId="0" fillId="0" borderId="19" xfId="0" applyNumberFormat="1" applyBorder="1" applyAlignment="1" applyProtection="1">
      <alignment horizontal="center" vertical="center"/>
    </xf>
    <xf numFmtId="0" fontId="0" fillId="0" borderId="26" xfId="0" applyNumberFormat="1" applyBorder="1" applyAlignment="1" applyProtection="1">
      <alignment horizontal="center" vertical="center" wrapText="1"/>
      <protection locked="0"/>
    </xf>
    <xf numFmtId="0" fontId="15" fillId="0" borderId="25" xfId="0" applyNumberFormat="1" applyFont="1" applyBorder="1" applyAlignment="1" applyProtection="1">
      <alignment horizontal="center" vertical="center"/>
    </xf>
    <xf numFmtId="0" fontId="15" fillId="0" borderId="19" xfId="0" applyNumberFormat="1" applyFont="1" applyBorder="1" applyAlignment="1" applyProtection="1">
      <alignment horizontal="center" vertical="center" wrapText="1"/>
    </xf>
    <xf numFmtId="0" fontId="15" fillId="0" borderId="26" xfId="0" applyNumberFormat="1" applyFont="1" applyBorder="1" applyAlignment="1" applyProtection="1">
      <alignment horizontal="center" vertical="center" wrapText="1"/>
      <protection locked="0"/>
    </xf>
    <xf numFmtId="0" fontId="19" fillId="0" borderId="9" xfId="0" applyNumberFormat="1" applyFont="1" applyBorder="1" applyAlignment="1" applyProtection="1">
      <alignment horizontal="center" vertical="center" wrapText="1"/>
      <protection locked="0"/>
    </xf>
    <xf numFmtId="0" fontId="29" fillId="13" borderId="28" xfId="5" applyFont="1" applyFill="1" applyBorder="1" applyAlignment="1" applyProtection="1">
      <alignment horizontal="center" vertical="center" wrapText="1"/>
      <protection locked="0"/>
    </xf>
    <xf numFmtId="0" fontId="29" fillId="12" borderId="27" xfId="5" applyFont="1" applyFill="1" applyBorder="1" applyAlignment="1" applyProtection="1">
      <alignment horizontal="center" vertical="center" wrapText="1"/>
    </xf>
    <xf numFmtId="0" fontId="29" fillId="12" borderId="29" xfId="5" applyFont="1" applyFill="1" applyBorder="1" applyAlignment="1" applyProtection="1">
      <alignment horizontal="center" vertical="center" wrapText="1"/>
    </xf>
    <xf numFmtId="0" fontId="27" fillId="0" borderId="0" xfId="0" applyFont="1" applyAlignment="1">
      <alignment wrapText="1"/>
    </xf>
    <xf numFmtId="0" fontId="15" fillId="0" borderId="5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29" fillId="12" borderId="10" xfId="5" applyFont="1" applyFill="1" applyBorder="1" applyAlignment="1">
      <alignment horizontal="center" vertical="center" wrapText="1"/>
    </xf>
    <xf numFmtId="0" fontId="38" fillId="6" borderId="5" xfId="5" applyFont="1" applyFill="1" applyBorder="1" applyAlignment="1">
      <alignment horizontal="center" vertical="center" wrapText="1"/>
    </xf>
    <xf numFmtId="0" fontId="19" fillId="0" borderId="5" xfId="0" applyFont="1" applyBorder="1" applyAlignment="1" applyProtection="1">
      <alignment horizontal="center" vertical="center" wrapText="1"/>
    </xf>
    <xf numFmtId="0" fontId="15" fillId="0" borderId="8" xfId="0" applyNumberFormat="1" applyFont="1" applyBorder="1" applyAlignment="1" applyProtection="1">
      <alignment horizontal="center" vertical="center"/>
      <protection locked="0"/>
    </xf>
    <xf numFmtId="0" fontId="15" fillId="0" borderId="5" xfId="0" applyNumberFormat="1" applyFont="1" applyBorder="1" applyAlignment="1" applyProtection="1">
      <alignment horizontal="left" vertical="center" wrapText="1"/>
      <protection locked="0"/>
    </xf>
    <xf numFmtId="0" fontId="15" fillId="0" borderId="5" xfId="0" applyNumberFormat="1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wrapText="1"/>
      <protection locked="0"/>
    </xf>
    <xf numFmtId="0" fontId="27" fillId="0" borderId="5" xfId="0" applyFont="1" applyBorder="1" applyAlignment="1" applyProtection="1">
      <alignment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15" fillId="0" borderId="19" xfId="0" applyNumberFormat="1" applyFont="1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 wrapText="1"/>
      <protection locked="0"/>
    </xf>
    <xf numFmtId="0" fontId="19" fillId="0" borderId="5" xfId="0" applyNumberFormat="1" applyFont="1" applyBorder="1" applyAlignment="1" applyProtection="1">
      <alignment horizontal="center" vertical="center" wrapText="1"/>
      <protection locked="0"/>
    </xf>
    <xf numFmtId="0" fontId="15" fillId="12" borderId="0" xfId="0" applyFont="1" applyFill="1" applyAlignment="1" applyProtection="1">
      <alignment horizontal="center" vertical="center"/>
      <protection locked="0"/>
    </xf>
    <xf numFmtId="0" fontId="25" fillId="6" borderId="0" xfId="0" applyFont="1" applyFill="1" applyAlignment="1" applyProtection="1">
      <alignment horizontal="center" vertical="center"/>
      <protection locked="0"/>
    </xf>
    <xf numFmtId="0" fontId="27" fillId="0" borderId="0" xfId="0" applyFont="1" applyFill="1"/>
    <xf numFmtId="0" fontId="27" fillId="0" borderId="24" xfId="0" applyNumberFormat="1" applyFont="1" applyBorder="1" applyAlignment="1" applyProtection="1">
      <alignment horizontal="center" vertical="center" wrapText="1"/>
      <protection locked="0"/>
    </xf>
    <xf numFmtId="0" fontId="29" fillId="0" borderId="22" xfId="5" applyFont="1" applyFill="1" applyBorder="1" applyAlignment="1" applyProtection="1">
      <alignment horizontal="center" vertical="center" wrapText="1"/>
      <protection locked="0"/>
    </xf>
    <xf numFmtId="0" fontId="15" fillId="0" borderId="5" xfId="0" applyFont="1" applyBorder="1" applyAlignment="1" applyProtection="1">
      <alignment horizontal="center" vertical="center" wrapText="1"/>
      <protection locked="0"/>
    </xf>
    <xf numFmtId="0" fontId="27" fillId="0" borderId="24" xfId="12" applyFont="1" applyBorder="1" applyAlignment="1" applyProtection="1">
      <alignment horizontal="center" vertical="center" wrapText="1"/>
      <protection locked="0"/>
    </xf>
    <xf numFmtId="0" fontId="27" fillId="0" borderId="23" xfId="12" applyBorder="1" applyAlignment="1" applyProtection="1">
      <alignment horizontal="center" vertical="center"/>
      <protection locked="0"/>
    </xf>
    <xf numFmtId="0" fontId="29" fillId="12" borderId="5" xfId="5" applyFont="1" applyFill="1" applyBorder="1" applyAlignment="1" applyProtection="1">
      <alignment horizontal="center" vertical="center" wrapText="1"/>
      <protection locked="0"/>
    </xf>
    <xf numFmtId="0" fontId="27" fillId="0" borderId="5" xfId="12" applyFont="1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9" fillId="0" borderId="10" xfId="0" applyFont="1" applyBorder="1" applyAlignment="1" applyProtection="1">
      <alignment horizontal="center" vertical="center" wrapText="1"/>
    </xf>
    <xf numFmtId="1" fontId="15" fillId="0" borderId="0" xfId="0" applyNumberFormat="1" applyFont="1" applyAlignment="1" applyProtection="1">
      <alignment horizontal="center" vertical="center" wrapText="1"/>
      <protection locked="0"/>
    </xf>
    <xf numFmtId="1" fontId="17" fillId="0" borderId="5" xfId="0" applyNumberFormat="1" applyFont="1" applyBorder="1" applyAlignment="1" applyProtection="1">
      <alignment horizontal="left"/>
      <protection locked="0"/>
    </xf>
    <xf numFmtId="1" fontId="15" fillId="2" borderId="0" xfId="0" applyNumberFormat="1" applyFont="1" applyFill="1" applyBorder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9" fillId="15" borderId="5" xfId="5" applyFont="1" applyFill="1" applyBorder="1" applyAlignment="1" applyProtection="1">
      <alignment horizontal="center" vertical="center" wrapText="1"/>
    </xf>
    <xf numFmtId="1" fontId="29" fillId="15" borderId="5" xfId="5" applyNumberFormat="1" applyFont="1" applyFill="1" applyBorder="1" applyAlignment="1" applyProtection="1">
      <alignment horizontal="center" vertical="center" wrapText="1"/>
    </xf>
    <xf numFmtId="0" fontId="41" fillId="15" borderId="0" xfId="0" applyFont="1" applyFill="1" applyAlignment="1" applyProtection="1">
      <alignment horizontal="center" vertical="center" wrapText="1"/>
      <protection locked="0"/>
    </xf>
    <xf numFmtId="166" fontId="15" fillId="2" borderId="5" xfId="0" applyNumberFormat="1" applyFont="1" applyFill="1" applyBorder="1" applyAlignment="1" applyProtection="1">
      <alignment horizontal="center" vertical="center" wrapText="1"/>
    </xf>
    <xf numFmtId="1" fontId="15" fillId="2" borderId="5" xfId="0" applyNumberFormat="1" applyFont="1" applyFill="1" applyBorder="1" applyAlignment="1" applyProtection="1">
      <alignment horizontal="center" vertical="center" wrapText="1"/>
    </xf>
    <xf numFmtId="0" fontId="38" fillId="6" borderId="5" xfId="5" applyFont="1" applyFill="1" applyBorder="1" applyAlignment="1" applyProtection="1">
      <alignment horizontal="center" vertical="center" wrapText="1"/>
      <protection locked="0"/>
    </xf>
    <xf numFmtId="0" fontId="15" fillId="0" borderId="5" xfId="12" applyNumberFormat="1" applyFont="1" applyBorder="1" applyAlignment="1" applyProtection="1">
      <alignment horizontal="left" vertical="center" wrapText="1"/>
      <protection locked="0"/>
    </xf>
    <xf numFmtId="0" fontId="15" fillId="0" borderId="8" xfId="12" applyNumberFormat="1" applyFont="1" applyBorder="1" applyAlignment="1" applyProtection="1">
      <alignment horizontal="left" vertical="center" wrapText="1"/>
      <protection locked="0"/>
    </xf>
    <xf numFmtId="0" fontId="16" fillId="0" borderId="5" xfId="0" applyNumberFormat="1" applyFont="1" applyBorder="1" applyAlignment="1" applyProtection="1">
      <alignment horizontal="left" vertical="center" wrapText="1"/>
      <protection locked="0"/>
    </xf>
    <xf numFmtId="0" fontId="15" fillId="0" borderId="19" xfId="0" applyNumberFormat="1" applyFont="1" applyBorder="1" applyAlignment="1" applyProtection="1">
      <alignment horizontal="left" vertical="center" wrapText="1"/>
      <protection locked="0"/>
    </xf>
    <xf numFmtId="0" fontId="29" fillId="13" borderId="5" xfId="5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/>
    </xf>
    <xf numFmtId="0" fontId="15" fillId="0" borderId="5" xfId="0" applyNumberFormat="1" applyFont="1" applyBorder="1" applyAlignment="1" applyProtection="1">
      <alignment horizontal="center" vertical="center"/>
    </xf>
    <xf numFmtId="0" fontId="27" fillId="0" borderId="10" xfId="12" applyBorder="1" applyAlignment="1" applyProtection="1">
      <alignment horizontal="center" vertical="center"/>
      <protection locked="0"/>
    </xf>
    <xf numFmtId="0" fontId="27" fillId="0" borderId="9" xfId="12" applyFont="1" applyBorder="1" applyAlignment="1" applyProtection="1">
      <alignment horizontal="center" vertical="center" wrapText="1"/>
      <protection locked="0"/>
    </xf>
    <xf numFmtId="1" fontId="15" fillId="0" borderId="19" xfId="0" applyNumberFormat="1" applyFont="1" applyBorder="1" applyAlignment="1" applyProtection="1">
      <alignment horizontal="center" vertical="center"/>
    </xf>
    <xf numFmtId="1" fontId="15" fillId="0" borderId="8" xfId="0" applyNumberFormat="1" applyFont="1" applyBorder="1" applyAlignment="1" applyProtection="1">
      <alignment horizontal="center" vertical="center"/>
    </xf>
    <xf numFmtId="0" fontId="22" fillId="0" borderId="6" xfId="0" applyFont="1" applyBorder="1" applyAlignment="1" applyProtection="1">
      <alignment horizontal="center" vertical="center"/>
    </xf>
    <xf numFmtId="0" fontId="22" fillId="0" borderId="7" xfId="0" applyFont="1" applyBorder="1" applyAlignment="1" applyProtection="1">
      <alignment horizontal="center" vertical="center"/>
    </xf>
    <xf numFmtId="166" fontId="15" fillId="2" borderId="16" xfId="0" applyNumberFormat="1" applyFont="1" applyFill="1" applyBorder="1" applyAlignment="1" applyProtection="1">
      <alignment horizontal="center" vertical="center"/>
    </xf>
    <xf numFmtId="166" fontId="15" fillId="2" borderId="17" xfId="0" applyNumberFormat="1" applyFont="1" applyFill="1" applyBorder="1" applyAlignment="1" applyProtection="1">
      <alignment horizontal="center" vertical="center"/>
    </xf>
    <xf numFmtId="166" fontId="15" fillId="2" borderId="18" xfId="0" applyNumberFormat="1" applyFont="1" applyFill="1" applyBorder="1" applyAlignment="1" applyProtection="1">
      <alignment horizontal="center" vertical="center"/>
    </xf>
    <xf numFmtId="0" fontId="30" fillId="0" borderId="16" xfId="2" applyFont="1" applyBorder="1" applyAlignment="1" applyProtection="1">
      <alignment horizontal="center" vertical="center"/>
    </xf>
    <xf numFmtId="0" fontId="30" fillId="0" borderId="17" xfId="2" applyFont="1" applyBorder="1" applyAlignment="1" applyProtection="1">
      <alignment horizontal="center" vertical="center"/>
    </xf>
    <xf numFmtId="0" fontId="30" fillId="0" borderId="18" xfId="2" applyFont="1" applyBorder="1" applyAlignment="1" applyProtection="1">
      <alignment horizontal="center" vertical="center"/>
    </xf>
    <xf numFmtId="1" fontId="0" fillId="6" borderId="5" xfId="0" applyNumberFormat="1" applyFill="1" applyBorder="1" applyAlignment="1">
      <alignment horizontal="center"/>
    </xf>
    <xf numFmtId="2" fontId="21" fillId="0" borderId="5" xfId="0" applyNumberFormat="1" applyFont="1" applyFill="1" applyBorder="1" applyAlignment="1" applyProtection="1">
      <alignment horizontal="center"/>
    </xf>
    <xf numFmtId="2" fontId="21" fillId="0" borderId="5" xfId="0" applyNumberFormat="1" applyFont="1" applyFill="1" applyBorder="1" applyAlignment="1" applyProtection="1">
      <alignment horizontal="center"/>
      <protection locked="0"/>
    </xf>
    <xf numFmtId="2" fontId="15" fillId="0" borderId="5" xfId="0" applyNumberFormat="1" applyFont="1" applyBorder="1" applyAlignment="1" applyProtection="1">
      <alignment horizontal="center"/>
      <protection locked="0"/>
    </xf>
    <xf numFmtId="0" fontId="31" fillId="3" borderId="5" xfId="8" applyFont="1" applyFill="1" applyBorder="1" applyAlignment="1" applyProtection="1">
      <alignment horizontal="center"/>
    </xf>
    <xf numFmtId="0" fontId="28" fillId="10" borderId="0" xfId="0" applyFont="1" applyFill="1" applyAlignment="1">
      <alignment horizontal="center"/>
    </xf>
  </cellXfs>
  <cellStyles count="17">
    <cellStyle name="Comma 2" xfId="9" xr:uid="{E8828A71-5190-4645-86AE-5E5988625998}"/>
    <cellStyle name="Comma 2 2" xfId="14" xr:uid="{DD6640A3-601B-4101-8947-F0E44E024297}"/>
    <cellStyle name="Comma 3" xfId="11" xr:uid="{D757EA82-5D9B-483D-84DD-109DF29ED54B}"/>
    <cellStyle name="Comma 3 2" xfId="16" xr:uid="{C80C2F43-62D5-4C85-97F5-B25F61DE1401}"/>
    <cellStyle name="Company name" xfId="3" xr:uid="{00000000-0005-0000-0000-000000000000}"/>
    <cellStyle name="Explanatory Text" xfId="1" builtinId="53" customBuiltin="1"/>
    <cellStyle name="Invoice" xfId="2" xr:uid="{00000000-0005-0000-0000-000002000000}"/>
    <cellStyle name="Normal" xfId="0" builtinId="0"/>
    <cellStyle name="Normal 2" xfId="4" xr:uid="{00000000-0005-0000-0000-000004000000}"/>
    <cellStyle name="Normal 3" xfId="5" xr:uid="{00000000-0005-0000-0000-000005000000}"/>
    <cellStyle name="Normal 4" xfId="6" xr:uid="{00000000-0005-0000-0000-000006000000}"/>
    <cellStyle name="Normal 5" xfId="8" xr:uid="{23405593-240A-4862-A73E-EE167D657C08}"/>
    <cellStyle name="Normal 5 2" xfId="13" xr:uid="{396F30FF-84A3-4436-BB9E-F8D1AD7C3666}"/>
    <cellStyle name="Normal 6" xfId="10" xr:uid="{6BE64792-F718-4B83-8340-AB47A467DD16}"/>
    <cellStyle name="Normal 6 2" xfId="15" xr:uid="{A70B7040-5564-42EC-AD57-7CF5064FA514}"/>
    <cellStyle name="Normal 7" xfId="12" xr:uid="{2D3068CD-0AD5-4254-B83F-EFAFC5BDD635}"/>
    <cellStyle name="Percent" xfId="7" builtinId="5"/>
  </cellStyles>
  <dxfs count="70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general" textRotation="0" wrapText="1" indent="0" justifyLastLine="0" shrinkToFit="0" readingOrder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6" formatCode="m/d/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6" formatCode="m/d/yy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1" formatCode="0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medium">
          <color indexed="64"/>
        </right>
        <top/>
        <bottom style="thin">
          <color theme="5"/>
        </bottom>
      </border>
      <protection locked="1" hidden="0"/>
    </dxf>
    <dxf>
      <numFmt numFmtId="1" formatCode="0"/>
      <alignment horizontal="center" vertical="center" textRotation="0" wrapText="1" indent="0" justifyLastLine="0" shrinkToFit="0" readingOrder="0"/>
      <protection locked="1" hidden="0"/>
    </dxf>
    <dxf>
      <numFmt numFmtId="1" formatCode="0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5"/>
        </right>
        <top/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/>
        <top/>
        <bottom style="thin">
          <color theme="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border outline="0">
        <bottom style="thin">
          <color theme="5"/>
        </bottom>
      </border>
    </dxf>
    <dxf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minor"/>
      </font>
      <alignment horizontal="center" vertical="center" textRotation="0" wrapText="1" indent="0" justifyLastLine="0" shrinkToFit="0" readingOrder="0"/>
      <protection locked="0" hidden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6D4E8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3F3F3"/>
      <rgbColor rgb="00E4EAF4"/>
      <rgbColor rgb="00CCFFCC"/>
      <rgbColor rgb="00FFFF99"/>
      <rgbColor rgb="00D9D9D9"/>
      <rgbColor rgb="00FF99CC"/>
      <rgbColor rgb="00969696"/>
      <rgbColor rgb="00FFCC99"/>
      <rgbColor rgb="003366FF"/>
      <rgbColor rgb="0033CCCC"/>
      <rgbColor rgb="0099CC00"/>
      <rgbColor rgb="00FFCC00"/>
      <rgbColor rgb="00FF9900"/>
      <rgbColor rgb="00FF6600"/>
      <rgbColor rgb="003B5E91"/>
      <rgbColor rgb="00969696"/>
      <rgbColor rgb="00003366"/>
      <rgbColor rgb="00339966"/>
      <rgbColor rgb="00003300"/>
      <rgbColor rgb="00333300"/>
      <rgbColor rgb="00993300"/>
      <rgbColor rgb="00EFEFEF"/>
      <rgbColor rgb="003B5E91"/>
      <rgbColor rgb="00333333"/>
    </indexedColors>
    <mruColors>
      <color rgb="FFF28560"/>
      <color rgb="FF7594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828676</xdr:colOff>
      <xdr:row>0</xdr:row>
      <xdr:rowOff>183886</xdr:rowOff>
    </xdr:from>
    <xdr:to>
      <xdr:col>2</xdr:col>
      <xdr:colOff>262243</xdr:colOff>
      <xdr:row>2</xdr:row>
      <xdr:rowOff>11376</xdr:rowOff>
    </xdr:to>
    <xdr:pic>
      <xdr:nvPicPr>
        <xdr:cNvPr id="3" name="Picture 2" descr="C:\Users\Lenovo Support\Downloads\Numerify_SquareLogo_FullColor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09" y="183886"/>
          <a:ext cx="735317" cy="779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1</xdr:row>
          <xdr:rowOff>57150</xdr:rowOff>
        </xdr:from>
        <xdr:to>
          <xdr:col>7</xdr:col>
          <xdr:colOff>1400175</xdr:colOff>
          <xdr:row>2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BOM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1657350</xdr:colOff>
          <xdr:row>1</xdr:row>
          <xdr:rowOff>66675</xdr:rowOff>
        </xdr:from>
        <xdr:to>
          <xdr:col>8</xdr:col>
          <xdr:colOff>390525</xdr:colOff>
          <xdr:row>2</xdr:row>
          <xdr:rowOff>142875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Descriptions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2152650</xdr:colOff>
          <xdr:row>1</xdr:row>
          <xdr:rowOff>76200</xdr:rowOff>
        </xdr:from>
        <xdr:to>
          <xdr:col>8</xdr:col>
          <xdr:colOff>3152775</xdr:colOff>
          <xdr:row>2</xdr:row>
          <xdr:rowOff>142875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1</xdr:row>
          <xdr:rowOff>76200</xdr:rowOff>
        </xdr:from>
        <xdr:to>
          <xdr:col>8</xdr:col>
          <xdr:colOff>1905000</xdr:colOff>
          <xdr:row>2</xdr:row>
          <xdr:rowOff>133350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942975</xdr:colOff>
          <xdr:row>1</xdr:row>
          <xdr:rowOff>57150</xdr:rowOff>
        </xdr:from>
        <xdr:to>
          <xdr:col>7</xdr:col>
          <xdr:colOff>2476500</xdr:colOff>
          <xdr:row>2</xdr:row>
          <xdr:rowOff>180975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Descriptions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2886075</xdr:colOff>
          <xdr:row>1</xdr:row>
          <xdr:rowOff>76200</xdr:rowOff>
        </xdr:from>
        <xdr:to>
          <xdr:col>8</xdr:col>
          <xdr:colOff>1047750</xdr:colOff>
          <xdr:row>2</xdr:row>
          <xdr:rowOff>171450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57150</xdr:rowOff>
        </xdr:from>
        <xdr:to>
          <xdr:col>10</xdr:col>
          <xdr:colOff>666750</xdr:colOff>
          <xdr:row>2</xdr:row>
          <xdr:rowOff>161925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6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Summary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D4E415-2392-4DE9-B0D5-D0C0E0B886A9}" name="Table2" displayName="Table2" ref="B10:Q20" totalsRowShown="0" headerRowDxfId="69" dataDxfId="68" tableBorderDxfId="67" headerRowCellStyle="Normal 3">
  <tableColumns count="16">
    <tableColumn id="1" xr3:uid="{CBC6787E-FCB5-46ED-864F-0922CC75F0C9}" name="Qty" dataDxfId="66"/>
    <tableColumn id="2" xr3:uid="{0D2D23F0-D588-4D69-83C8-D461EF5234FF}" name="Task Type" dataDxfId="65"/>
    <tableColumn id="3" xr3:uid="{9C3757F7-8F71-4769-BD6B-7C03CE79FDA9}" name="Item #" dataDxfId="64"/>
    <tableColumn id="4" xr3:uid="{BDA33FA8-EA30-45A8-B774-2B3D23696C0B}" name="Description" dataDxfId="63"/>
    <tableColumn id="8" xr3:uid="{9AB53FBF-D4FD-4631-94AB-CF86709DF06A}" name="Points Category" dataDxfId="62">
      <calculatedColumnFormula>IF(Table2[[#This Row],[Item '#]]&lt;&gt;"",VLOOKUP(Table2[[#This Row],[Item '#]],Items!$B$2:$O$102,13,0),"")</calculatedColumnFormula>
    </tableColumn>
    <tableColumn id="5" xr3:uid="{1AA001EE-08AF-4BA1-9AD0-A3398904498B}" name="Points" dataDxfId="61">
      <calculatedColumnFormula>IFERROR(IF(Table2[[#This Row],[Item '#]]&lt;&gt;"",VLOOKUP(Table2[[#This Row],[Item '#]],Items!$B$2:$O$102,14,0),""),"")</calculatedColumnFormula>
    </tableColumn>
    <tableColumn id="6" xr3:uid="{D0F67A2A-CBC6-441B-89D6-F2E931A09404}" name="ETL (hrs)" dataDxfId="60">
      <calculatedColumnFormula>IFERROR(ROUNDUP(IF(Table2[[#This Row],[Item '#]]&lt;&gt;"",VLOOKUP(Table2[[#This Row],[Item '#]],Items!$B$2:$O$101,5,0),"")/0.85,0),"")</calculatedColumnFormula>
    </tableColumn>
    <tableColumn id="12" xr3:uid="{9EA11BDD-4EFD-40F9-A417-7B9B92018533}" name="MSTR (hrs)" dataDxfId="59">
      <calculatedColumnFormula>IFERROR(ROUNDUP(IF(Table2[[#This Row],[Item '#]]&lt;&gt;"",VLOOKUP(Table2[[#This Row],[Item '#]],Items!$B$2:$O$101,6,0),"")/0.85,0),"")</calculatedColumnFormula>
    </tableColumn>
    <tableColumn id="11" xr3:uid="{CCF8CEE3-7073-4FA6-ACE1-1D5FDA4FF039}" name="QA (hrs)" dataDxfId="58">
      <calculatedColumnFormula>IFERROR(ROUNDUP(IF(Table2[[#This Row],[Item '#]]&lt;&gt;"",VLOOKUP(Table2[[#This Row],[Item '#]],Items!$B$2:$O$101,7,0),"")/0.85,0),"")</calculatedColumnFormula>
    </tableColumn>
    <tableColumn id="16" xr3:uid="{6E708E0A-7039-4E44-A523-FB2B4FDF85E2}" name="Others (hrs)" dataDxfId="57">
      <calculatedColumnFormula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calculatedColumnFormula>
    </tableColumn>
    <tableColumn id="10" xr3:uid="{CAF15507-806A-4464-9A5D-399B6CB10A35}" name="Points Total" dataDxfId="56">
      <calculatedColumnFormula>IFERROR(Table2[[#This Row],[Points]]*Table2[[#This Row],[Qty]],"")</calculatedColumnFormula>
    </tableColumn>
    <tableColumn id="9" xr3:uid="{A0511E41-1DD0-4DA3-B603-0E859BA9802C}" name="ETL" dataDxfId="55">
      <calculatedColumnFormula>IFERROR(Table2[[#This Row],[ETL (hrs)]]*Table2[[#This Row],[Qty]],"")</calculatedColumnFormula>
    </tableColumn>
    <tableColumn id="13" xr3:uid="{75324FB1-18C5-4493-B0B9-40035EE98F26}" name="MSTR" dataDxfId="54">
      <calculatedColumnFormula>IFERROR(Table2[[#This Row],[MSTR (hrs)]]*Table2[[#This Row],[Qty]],"")</calculatedColumnFormula>
    </tableColumn>
    <tableColumn id="14" xr3:uid="{C947B049-6086-4D33-A276-21EBA4E3783D}" name="QA" dataDxfId="53">
      <calculatedColumnFormula>IFERROR(Table2[[#This Row],[QA (hrs)]]*Table2[[#This Row],[Qty]],"")</calculatedColumnFormula>
    </tableColumn>
    <tableColumn id="17" xr3:uid="{B8703719-031A-47E1-A4A0-367B84F3E037}" name="Others" dataDxfId="52">
      <calculatedColumnFormula>IFERROR(Table2[[#This Row],[Others (hrs)]]*Table2[[#This Row],[Qty]],"")</calculatedColumnFormula>
    </tableColumn>
    <tableColumn id="15" xr3:uid="{2B1B0FA8-7BBC-4830-BDC1-24DE0CACE784}" name="Total hrs" dataDxfId="51">
      <calculatedColumnFormula>SUM(Table2[[#This Row],[ETL]:[Others]])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9A53E73-0426-4C53-A96E-8E8AEA147C53}" name="Table257" displayName="Table257" ref="B5:M17" totalsRowShown="0" headerRowDxfId="50" dataDxfId="48" headerRowBorderDxfId="49" tableBorderDxfId="47" totalsRowBorderDxfId="46" headerRowCellStyle="Normal 3">
  <tableColumns count="12">
    <tableColumn id="1" xr3:uid="{25794CD7-3ECA-49FC-8421-C39FDB8C2B13}" name="Qty" dataDxfId="45"/>
    <tableColumn id="2" xr3:uid="{9F655E7D-1318-45DC-9DDE-47DA6D32A7F6}" name="Task Type" dataDxfId="44"/>
    <tableColumn id="3" xr3:uid="{35BD1D14-3E8A-4ACA-803C-12B3DA027779}" name="Item #" dataDxfId="43"/>
    <tableColumn id="5" xr3:uid="{E71A9F23-C0E6-4CB2-8773-5C49F05F186C}" name="Item Classification" dataDxfId="42">
      <calculatedColumnFormula>IFERROR(IF(Table257[[#This Row],[Item '#]]&lt;&gt;"",VLOOKUP(Table257[[#This Row],[Item '#]],Items!$B$2:$O$100,12,0),""),"")</calculatedColumnFormula>
    </tableColumn>
    <tableColumn id="6" xr3:uid="{163B00E2-118C-48B3-9403-F03F0A368EFE}" name="Category" dataDxfId="41"/>
    <tableColumn id="8" xr3:uid="{0ADB6858-C1F1-43A4-B880-E4EBCCDB3393}" name="point(s) per quantity" dataDxfId="40"/>
    <tableColumn id="7" xr3:uid="{CBBCEA5C-DFAE-4261-B9BA-8BF9755CC113}" name="Points Description" dataDxfId="39">
      <calculatedColumnFormula array="1">IFERROR(VLOOKUP(Table257[[#This Row],[Item Classification]],Table146[#All],MATCH(Table257[[#This Row],[Category]],Table146[#Headers],0)),"")</calculatedColumnFormula>
    </tableColumn>
    <tableColumn id="4" xr3:uid="{CFD409BF-DFB9-4136-8606-AC3755B05DB9}" name="Description for customer to be filled by CSM/TAM" dataDxfId="38"/>
    <tableColumn id="14" xr3:uid="{C1D16C8F-441B-4D03-B911-46721DDA2F40}" name="Customer Initiative" dataDxfId="37"/>
    <tableColumn id="9" xr3:uid="{5BE19E91-62C2-4F52-B2C2-772180FDC7E1}" name="Total Points" dataDxfId="36"/>
    <tableColumn id="10" xr3:uid="{22DDEAB3-A977-46CD-B8C4-B6A23DADB0A5}" name="Summary" dataDxfId="35"/>
    <tableColumn id="12" xr3:uid="{B0F607DD-44E1-4C0E-99E7-62E2EEF4FA76}" name="Column1" dataDxfId="3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65C529-46D8-4EB3-9938-36A8FB6F19FE}" name="Table14" displayName="Table14" ref="A2:C48" totalsRowShown="0" headerRowDxfId="33" dataDxfId="32">
  <autoFilter ref="A2:C48" xr:uid="{633E179D-D2DC-474D-8CA4-4E4DFB92F101}"/>
  <tableColumns count="3">
    <tableColumn id="1" xr3:uid="{872A143C-4135-4A01-92FD-96341DC75769}" name="Category" dataDxfId="31"/>
    <tableColumn id="2" xr3:uid="{0A5AAA84-14BC-4F6E-BF61-704E71683502}" name="Menu Item" dataDxfId="30"/>
    <tableColumn id="6" xr3:uid="{36EB68B1-0483-42E8-8CA2-49F8BFD3AF68}" name="Description" dataDxfId="29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7FD295-BE25-4DD2-A7E6-9CACC753DFA9}" name="Table2575" displayName="Table2575" ref="B5:L15" totalsRowShown="0" headerRowDxfId="28" dataDxfId="26" headerRowBorderDxfId="27" tableBorderDxfId="25" totalsRowBorderDxfId="24" headerRowCellStyle="Normal 3">
  <tableColumns count="11">
    <tableColumn id="1" xr3:uid="{BBA27CA7-48F1-40D1-852B-F85ED9612A60}" name="Qty" dataDxfId="23"/>
    <tableColumn id="2" xr3:uid="{A802CBE3-358C-4213-AAA3-79D2583CB33C}" name="Task Type" dataDxfId="22"/>
    <tableColumn id="3" xr3:uid="{60A8C348-2876-4479-BB07-F7DBAA678D3A}" name="Item" dataDxfId="21"/>
    <tableColumn id="5" xr3:uid="{882ED80B-0EB8-4C2A-B41B-94F140AE72C1}" name="Item Classification" dataDxfId="20">
      <calculatedColumnFormula>IFERROR(VLOOKUP(Table2575[[#This Row],[Item]],Items!$B$2:$M$100,12,FALSE),"")</calculatedColumnFormula>
    </tableColumn>
    <tableColumn id="6" xr3:uid="{D8B6511E-3090-4937-80BB-8FCFA3F77E51}" name="Category" dataDxfId="19">
      <calculatedColumnFormula>IFERROR(VLOOKUP(Table2575[[#This Row],[Item]],Items!$B$2:$O$100,13,FALSE),"")</calculatedColumnFormula>
    </tableColumn>
    <tableColumn id="8" xr3:uid="{1CA5151E-4873-425E-96F7-5F3C692A605B}" name="point(s) per quantity" dataDxfId="18">
      <calculatedColumnFormula>IFERROR(VLOOKUP(Table2575[[#This Row],[Item]],Items!$B$2:$O$100,14,FALSE),"")</calculatedColumnFormula>
    </tableColumn>
    <tableColumn id="4" xr3:uid="{01420884-362E-475B-8C4D-42BD845A57FF}" name="Description for customer to be filled by CSM/TAM" dataDxfId="17"/>
    <tableColumn id="14" xr3:uid="{153238B0-AE65-4C99-B7CE-F6278AC2C4F8}" name="Customer Initiative" dataDxfId="16"/>
    <tableColumn id="9" xr3:uid="{B9388517-E697-4759-AF7A-1A3760997D5A}" name="Total Points" dataDxfId="15">
      <calculatedColumnFormula>IFERROR(Table2575[[#This Row],[Qty]]*Table2575[[#This Row],[point(s) per quantity]],"")</calculatedColumnFormula>
    </tableColumn>
    <tableColumn id="10" xr3:uid="{4A34095B-B782-4781-92AB-06899CDCE9A7}" name="Summary" dataDxfId="14">
      <calculatedColumnFormula>IF(B6&lt;&gt;"","
"&amp;#REF!&amp;". (CSM) 
"&amp;"Customer Initiative:"&amp;""&amp;I6&amp;" 
"&amp;"Description:"&amp;" "&amp;H6&amp;" 
"&amp;$E$5&amp;": "&amp;E6&amp;"
"&amp;$B$5&amp;": "&amp;B6&amp;"
"&amp;$F$5&amp;": "&amp;F6&amp;"
at "&amp;G6&amp;" "&amp;$G$5&amp;" for "&amp;J6&amp;" "&amp;$J$5,"")</calculatedColumnFormula>
    </tableColumn>
    <tableColumn id="7" xr3:uid="{1E522941-695E-4E41-8B1D-C52AB39947E6}" name="Column1" dataDxfId="1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CE9383-EE36-4CBD-A20A-169C730D3F96}" name="Table146" displayName="Table146" ref="A1:D37" totalsRowShown="0" headerRowDxfId="12" dataDxfId="11">
  <tableColumns count="4">
    <tableColumn id="2" xr3:uid="{5A9919E0-7C87-422F-83D3-1B1EF5F8D0A3}" name="Menu Item" dataDxfId="10"/>
    <tableColumn id="5" xr3:uid="{BAD894DF-9249-4870-84F6-46B2F6041716}" name="Simple" dataDxfId="9"/>
    <tableColumn id="4" xr3:uid="{3B18C86E-5E23-4E7F-9F5E-62C09037BBD2}" name="Standard" dataDxfId="8"/>
    <tableColumn id="3" xr3:uid="{E5E318F7-8606-47B4-B3C3-1170E388CB09}" name="Complex" dataDxfId="7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DB9059-8362-4D0F-B0FC-3C4820B1ED8C}" name="Table1" displayName="Table1" ref="A2:E50" totalsRowShown="0" headerRowDxfId="6" dataDxfId="5">
  <autoFilter ref="A2:E50" xr:uid="{1BDA6411-2AD1-47D4-9438-8B64316088A0}"/>
  <sortState xmlns:xlrd2="http://schemas.microsoft.com/office/spreadsheetml/2017/richdata2" ref="A3:E50">
    <sortCondition ref="A3:A50"/>
    <sortCondition ref="B3:B50"/>
  </sortState>
  <tableColumns count="5">
    <tableColumn id="1" xr3:uid="{425DBE90-D59E-4C66-A530-517803DE8479}" name="Category" dataDxfId="4"/>
    <tableColumn id="2" xr3:uid="{4D7D01E6-9452-4E2F-86B6-D8427F071FBF}" name="Menu Item" dataDxfId="3"/>
    <tableColumn id="3" xr3:uid="{C8DE2623-12F1-4A13-8D6C-A0D660CD8880}" name="Simple" dataDxfId="2"/>
    <tableColumn id="4" xr3:uid="{F4DD0EC3-913F-4A25-A727-62509359F69C}" name="Standard" dataDxfId="1"/>
    <tableColumn id="5" xr3:uid="{2AEE4E20-93C7-49DA-9085-B00400877DC7}" name="Complex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09">
      <a:dk1>
        <a:sysClr val="windowText" lastClr="000000"/>
      </a:dk1>
      <a:lt1>
        <a:sysClr val="window" lastClr="FFFFFF"/>
      </a:lt1>
      <a:dk2>
        <a:srgbClr val="102E50"/>
      </a:dk2>
      <a:lt2>
        <a:srgbClr val="EEECE1"/>
      </a:lt2>
      <a:accent1>
        <a:srgbClr val="4F81BD"/>
      </a:accent1>
      <a:accent2>
        <a:srgbClr val="5B4381"/>
      </a:accent2>
      <a:accent3>
        <a:srgbClr val="FFCD05"/>
      </a:accent3>
      <a:accent4>
        <a:srgbClr val="937DBA"/>
      </a:accent4>
      <a:accent5>
        <a:srgbClr val="F4F2F8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" dT="2019-06-04T15:30:46.31" personId="{00000000-0000-0000-0000-000000000000}" id="{F153095E-C3E8-4A60-9381-8E1091535B5F}">
    <text>Complexity Options are not aligned</text>
  </threadedComment>
  <threadedComment ref="H4" dT="2019-06-04T15:30:54.47" personId="{00000000-0000-0000-0000-000000000000}" id="{E9C0AF9D-CE7E-4B4B-A379-65C324855627}">
    <text>Complexity Options are not aligned</text>
  </threadedComment>
  <threadedComment ref="H5" dT="2019-06-04T15:30:54.47" personId="{00000000-0000-0000-0000-000000000000}" id="{B5139B97-067D-4B94-B689-20A933EBB73E}">
    <text>Complexity Options are not aligned</text>
  </threadedComment>
  <threadedComment ref="H6" dT="2019-06-04T15:31:01.30" personId="{00000000-0000-0000-0000-000000000000}" id="{61EC8F9F-5593-47A7-91FB-2C7BC4827D78}">
    <text>Complexity Options are not aligned</text>
  </threadedComment>
  <threadedComment ref="H7" dT="2019-06-04T15:31:14.78" personId="{00000000-0000-0000-0000-000000000000}" id="{0D5CDF00-FF1D-40CA-A7AF-3C20B16528C9}">
    <text>Complexity Options are not aligned</text>
  </threadedComment>
  <threadedComment ref="J7" dT="2019-06-04T15:33:40.83" personId="{00000000-0000-0000-0000-000000000000}" id="{1D794100-30B1-4846-A232-F3E9E5F3B718}">
    <text>Why can't we just call this complex add attribute?</text>
  </threadedComment>
  <threadedComment ref="J9" dT="2019-06-04T15:31:46.21" personId="{00000000-0000-0000-0000-000000000000}" id="{8634A709-38B0-4B3B-AC0B-4B3336B26263}">
    <text>Why does this require scoping?</text>
  </threadedComment>
  <threadedComment ref="J10" dT="2019-06-04T15:32:21.28" personId="{00000000-0000-0000-0000-000000000000}" id="{2208AEB2-C26D-4EA3-B9D9-898E24DC7735}">
    <text>Look at the points  category tab for the complexity definitions. This needs to be aligned on complexity options.</text>
  </threadedComment>
  <threadedComment ref="J11" dT="2019-06-04T15:32:53.91" personId="{00000000-0000-0000-0000-000000000000}" id="{A4F530B9-775C-467B-A251-768A56FC7908}">
    <text>Look at Points Category tab for complexity definitions. Complexity Options are not aligned</text>
  </threadedComment>
  <threadedComment ref="J14" dT="2019-06-04T15:30:54.47" personId="{00000000-0000-0000-0000-000000000000}" id="{8B0FF853-9BD7-4026-81DD-B00A70785664}">
    <text>Complexity Options are not aligned</text>
  </threadedComment>
  <threadedComment ref="J15" dT="2019-06-04T15:31:06.60" personId="{00000000-0000-0000-0000-000000000000}" id="{54DE7D53-46CA-47E6-BB8F-981D1EB54116}">
    <text>Complexity Options are not aligned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6" dT="2019-06-06T11:17:53.90" personId="{00000000-0000-0000-0000-000000000000}" id="{CEA64BD6-933C-4805-BBAD-314BFDB1302D}">
    <text>Added regression efforts from QA</text>
  </threadedComment>
  <threadedComment ref="B21" dT="2019-06-06T11:09:21.78" personId="{00000000-0000-0000-0000-000000000000}" id="{D0D3FB49-67D3-4FA0-ACCB-782829728A77}">
    <text>Efforts to points are not matching; Should change the task type to Snapshot Cube.</text>
  </threadedComment>
  <threadedComment ref="B23" dT="2019-06-06T11:31:07.57" personId="{00000000-0000-0000-0000-000000000000}" id="{5D58A536-9688-435E-8D63-F97B86B33DEF}">
    <text>Added impact analysis and regression efforts</text>
  </threadedComment>
  <threadedComment ref="B26" dT="2019-06-10T12:05:07.64" personId="{00000000-0000-0000-0000-000000000000}" id="{FE64A1B7-3C32-478A-B15E-EBE5B12C0B77}">
    <text xml:space="preserve">What cases we go to historical data for as is analysis? Can this be covered in without audit data cases in above?
</text>
  </threadedComment>
  <threadedComment ref="B27" dT="2019-06-06T10:36:35.39" personId="{00000000-0000-0000-0000-000000000000}" id="{CB2190E1-A986-4D22-A80C-678805B241CB}">
    <text>Adde Same Module to be more specific</text>
  </threadedComment>
  <threadedComment ref="B45" dT="2019-06-04T10:25:28.73" personId="{00000000-0000-0000-0000-000000000000}" id="{DDD25904-F8F2-4B2D-9070-21D47D6D339F}">
    <text xml:space="preserve">Updated efforts for additional attributes.
</text>
  </threadedComment>
  <threadedComment ref="B47" dT="2019-06-04T10:10:46.86" personId="{00000000-0000-0000-0000-000000000000}" id="{EBD39F01-252E-41A0-AB6B-9AAE61C0891E}">
    <text xml:space="preserve">Updated efforts for additional aggregate fact based on snapshot fact created above
</text>
  </threadedComment>
  <threadedComment ref="B48" dT="2019-06-14T07:26:11.10" personId="{00000000-0000-0000-0000-000000000000}" id="{CBCD9655-700A-452C-9727-A1D6A8C2D903}">
    <text xml:space="preserve">Is it similar to Reassignment Analysis? Estimates are provided with that assumption. Should discuss it in more detail.
</text>
  </threadedComment>
  <threadedComment ref="B50" dT="2019-05-24T13:33:01.20" personId="{00000000-0000-0000-0000-000000000000}" id="{40931317-89C1-42E8-8004-A6FEB4EBD628}">
    <text xml:space="preserve">I have updated the efforts for new cube building for new module. OOTB supports ony base modules keyword cubes. This does not include new module efforts.
</text>
  </threadedComment>
  <threadedComment ref="F79" dT="2019-05-15T06:40:17.86" personId="{00000000-0000-0000-0000-000000000000}" id="{188BADCF-C41C-47B0-94DF-0325EF0F96B4}">
    <text>20% for platform overhead</text>
  </threadedComment>
  <threadedComment ref="B84" dT="2019-06-04T15:33:40.83" personId="{00000000-0000-0000-0000-000000000000}" id="{F2D4A32C-8CBC-4AA4-BF1D-1D477ABBDE3E}">
    <text>Why can't we just call this complex add attribute?</text>
  </threadedComment>
  <threadedComment ref="B86" dT="2019-06-04T15:31:46.21" personId="{00000000-0000-0000-0000-000000000000}" id="{EBD7FA93-E149-4D49-BAE9-880687E57957}">
    <text>Why does this require scoping?</text>
  </threadedComment>
  <threadedComment ref="B87" dT="2019-06-04T15:32:21.28" personId="{00000000-0000-0000-0000-000000000000}" id="{3B1887C4-1730-4056-B1AD-3351EEBC702C}">
    <text>Look at the points  category tab for the complexity definitions. This needs to be aligned on complexity options.</text>
  </threadedComment>
  <threadedComment ref="B88" dT="2019-06-04T15:32:53.91" personId="{00000000-0000-0000-0000-000000000000}" id="{DACFE21F-58AC-409B-AB84-D17E539631F6}">
    <text>Look at Points Category tab for complexity definitions. Complexity Options are not aligned</text>
  </threadedComment>
  <threadedComment ref="B91" dT="2019-06-04T15:30:54.47" personId="{00000000-0000-0000-0000-000000000000}" id="{F80050DD-FA02-456F-A23A-BB79DDDE2A3A}">
    <text>Complexity Options are not aligned</text>
  </threadedComment>
  <threadedComment ref="B93" dT="2019-06-04T15:31:06.60" personId="{00000000-0000-0000-0000-000000000000}" id="{6C0EDBFC-C684-468C-923A-1FFB0A26A721}">
    <text>Complexity Options are not aligned</text>
  </threadedComment>
  <threadedComment ref="G93" dT="2019-05-15T12:29:04.45" personId="{00000000-0000-0000-0000-000000000000}" id="{FFD63815-B725-4DCD-BD44-0165057C946B}">
    <text xml:space="preserve">Modify this hours based on economy of scale
</text>
  </threadedComment>
  <threadedComment ref="B96" dT="2019-06-04T15:30:46.31" personId="{00000000-0000-0000-0000-000000000000}" id="{BD0B24B2-FF9C-43AB-B70C-78492763F80E}">
    <text>Complexity Options are not aligned</text>
  </threadedComment>
  <threadedComment ref="B97" dT="2019-06-04T15:30:54.47" personId="{00000000-0000-0000-0000-000000000000}" id="{7032709C-FB39-4577-95A4-2775D470F7B1}">
    <text>Complexity Options are not aligned</text>
  </threadedComment>
  <threadedComment ref="B98" dT="2019-06-04T15:30:54.47" personId="{00000000-0000-0000-0000-000000000000}" id="{C88EA587-6C91-4396-BCE7-A0CAA244A734}">
    <text>Complexity Options are not aligned</text>
  </threadedComment>
  <threadedComment ref="B99" dT="2019-06-04T15:31:01.30" personId="{00000000-0000-0000-0000-000000000000}" id="{77FF0FA1-A2BF-4436-88B4-87C78A49C818}">
    <text>Complexity Options are not aligned</text>
  </threadedComment>
  <threadedComment ref="B100" dT="2019-06-04T15:31:14.78" personId="{00000000-0000-0000-0000-000000000000}" id="{63AC925F-178B-49A4-B80F-99D4006C68F5}">
    <text>Complexity Options are not aligned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7"/>
  <sheetViews>
    <sheetView showGridLines="0" tabSelected="1" topLeftCell="A7" zoomScale="90" zoomScaleNormal="90" workbookViewId="0">
      <pane xSplit="5" topLeftCell="F1" activePane="topRight" state="frozen"/>
      <selection pane="topRight" activeCell="D11" sqref="D11"/>
    </sheetView>
  </sheetViews>
  <sheetFormatPr defaultColWidth="9.140625" defaultRowHeight="12.75" x14ac:dyDescent="0.2"/>
  <cols>
    <col min="1" max="1" width="2.5703125" style="44" customWidth="1"/>
    <col min="2" max="2" width="19.5703125" style="45" customWidth="1"/>
    <col min="3" max="3" width="28.5703125" style="45" bestFit="1" customWidth="1"/>
    <col min="4" max="4" width="58.42578125" style="46" bestFit="1" customWidth="1"/>
    <col min="5" max="6" width="17.140625" style="45" bestFit="1" customWidth="1"/>
    <col min="7" max="7" width="9.85546875" style="47" bestFit="1" customWidth="1"/>
    <col min="8" max="8" width="10.140625" style="48" bestFit="1" customWidth="1"/>
    <col min="9" max="9" width="12.140625" style="48" bestFit="1" customWidth="1"/>
    <col min="10" max="10" width="17" style="48" bestFit="1" customWidth="1"/>
    <col min="11" max="11" width="17" style="48" customWidth="1"/>
    <col min="12" max="12" width="12.85546875" style="48" bestFit="1" customWidth="1"/>
    <col min="13" max="13" width="12.7109375" style="49" bestFit="1" customWidth="1"/>
    <col min="14" max="14" width="16" style="45" bestFit="1" customWidth="1"/>
    <col min="15" max="15" width="12.7109375" style="45" customWidth="1"/>
    <col min="16" max="16" width="15.5703125" style="45" bestFit="1" customWidth="1"/>
    <col min="17" max="17" width="12.42578125" style="45" bestFit="1" customWidth="1"/>
    <col min="18" max="16384" width="9.140625" style="45"/>
  </cols>
  <sheetData>
    <row r="1" spans="1:17" ht="18" customHeight="1" thickBot="1" x14ac:dyDescent="0.25">
      <c r="A1" s="44" t="s">
        <v>91</v>
      </c>
    </row>
    <row r="2" spans="1:17" s="51" customFormat="1" ht="57" customHeight="1" thickBot="1" x14ac:dyDescent="0.25">
      <c r="A2" s="50" t="s">
        <v>92</v>
      </c>
      <c r="B2" s="244" t="s">
        <v>93</v>
      </c>
      <c r="C2" s="245"/>
      <c r="D2" s="249" t="s">
        <v>94</v>
      </c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1"/>
    </row>
    <row r="3" spans="1:17" ht="15" customHeight="1" x14ac:dyDescent="0.2">
      <c r="A3" s="44" t="s">
        <v>95</v>
      </c>
      <c r="B3" s="52" t="s">
        <v>96</v>
      </c>
      <c r="C3" s="100">
        <f ca="1">TODAY()</f>
        <v>43782</v>
      </c>
      <c r="D3" s="55" t="s">
        <v>236</v>
      </c>
      <c r="E3" s="24" t="s">
        <v>235</v>
      </c>
      <c r="F3" s="55"/>
      <c r="G3"/>
      <c r="H3" s="56"/>
      <c r="I3" s="56"/>
      <c r="J3"/>
      <c r="K3"/>
      <c r="L3"/>
      <c r="M3"/>
      <c r="N3" s="57" t="s">
        <v>252</v>
      </c>
      <c r="O3" s="23">
        <f ca="1">TODAY()</f>
        <v>43782</v>
      </c>
      <c r="P3" s="57" t="s">
        <v>238</v>
      </c>
      <c r="Q3" s="99">
        <f ca="1">$O$4</f>
        <v>43794</v>
      </c>
    </row>
    <row r="4" spans="1:17" ht="15" customHeight="1" x14ac:dyDescent="0.2">
      <c r="B4" s="57" t="s">
        <v>97</v>
      </c>
      <c r="C4" s="83" t="s">
        <v>309</v>
      </c>
      <c r="D4" s="55" t="s">
        <v>98</v>
      </c>
      <c r="E4" s="25">
        <v>0.05</v>
      </c>
      <c r="F4" s="55"/>
      <c r="G4" s="66"/>
      <c r="H4" s="56"/>
      <c r="I4" s="56"/>
      <c r="J4" s="66"/>
      <c r="K4" s="56"/>
      <c r="L4"/>
      <c r="M4"/>
      <c r="N4" s="57" t="s">
        <v>253</v>
      </c>
      <c r="O4" s="98">
        <f ca="1">$O$3+MAX($M$24:$N$24:$P$24)</f>
        <v>43794</v>
      </c>
      <c r="P4" s="79" t="s">
        <v>239</v>
      </c>
      <c r="Q4" s="98">
        <f ca="1">$Q$3+$O$24</f>
        <v>43804</v>
      </c>
    </row>
    <row r="5" spans="1:17" ht="15" customHeight="1" x14ac:dyDescent="0.2">
      <c r="B5" s="57" t="s">
        <v>240</v>
      </c>
      <c r="C5" s="84"/>
      <c r="D5" s="55" t="s">
        <v>99</v>
      </c>
      <c r="E5" s="24">
        <v>20</v>
      </c>
      <c r="F5" s="55"/>
      <c r="G5"/>
      <c r="H5" s="56"/>
      <c r="I5" s="56"/>
      <c r="J5" s="56"/>
      <c r="K5" s="56"/>
      <c r="L5" s="56"/>
      <c r="M5" s="58"/>
    </row>
    <row r="6" spans="1:17" ht="15" customHeight="1" x14ac:dyDescent="0.2">
      <c r="B6" s="57" t="s">
        <v>100</v>
      </c>
      <c r="C6" s="83"/>
      <c r="D6" s="55" t="s">
        <v>237</v>
      </c>
      <c r="E6" s="59">
        <v>1</v>
      </c>
      <c r="F6" s="55"/>
      <c r="G6"/>
      <c r="H6" s="56"/>
      <c r="I6" s="56"/>
      <c r="J6" s="56"/>
      <c r="K6" s="56"/>
      <c r="L6" s="56"/>
      <c r="M6" s="58"/>
    </row>
    <row r="7" spans="1:17" ht="15" customHeight="1" x14ac:dyDescent="0.2">
      <c r="B7" s="57" t="s">
        <v>101</v>
      </c>
      <c r="C7" s="83"/>
      <c r="D7" s="53"/>
      <c r="E7" s="54"/>
      <c r="G7" s="45"/>
      <c r="H7" s="56"/>
      <c r="I7" s="56"/>
      <c r="J7" s="56"/>
      <c r="K7" s="56"/>
      <c r="L7" s="56"/>
      <c r="M7" s="58"/>
    </row>
    <row r="8" spans="1:17" ht="15" customHeight="1" thickBot="1" x14ac:dyDescent="0.25">
      <c r="B8" s="57" t="s">
        <v>102</v>
      </c>
      <c r="C8" s="83"/>
      <c r="D8" s="53"/>
      <c r="E8" s="54"/>
      <c r="F8" s="54"/>
      <c r="H8" s="56"/>
      <c r="I8" s="56"/>
      <c r="J8" s="56"/>
      <c r="K8" s="56"/>
      <c r="L8" s="56"/>
      <c r="M8" s="58"/>
    </row>
    <row r="9" spans="1:17" ht="17.100000000000001" customHeight="1" thickBot="1" x14ac:dyDescent="0.25">
      <c r="B9" s="74"/>
      <c r="C9" s="74"/>
      <c r="D9" s="74"/>
      <c r="E9" s="74"/>
      <c r="F9" s="92"/>
      <c r="G9" s="246" t="s">
        <v>243</v>
      </c>
      <c r="H9" s="247"/>
      <c r="I9" s="247"/>
      <c r="J9" s="247"/>
      <c r="K9" s="247"/>
      <c r="L9" s="246" t="s">
        <v>244</v>
      </c>
      <c r="M9" s="247"/>
      <c r="N9" s="247"/>
      <c r="O9" s="247"/>
      <c r="P9" s="247"/>
      <c r="Q9" s="248"/>
    </row>
    <row r="10" spans="1:17" ht="18.75" customHeight="1" thickBot="1" x14ac:dyDescent="0.25">
      <c r="A10" s="44" t="s">
        <v>103</v>
      </c>
      <c r="B10" s="60" t="s">
        <v>104</v>
      </c>
      <c r="C10" s="60" t="s">
        <v>105</v>
      </c>
      <c r="D10" s="60" t="s">
        <v>106</v>
      </c>
      <c r="E10" s="60" t="s">
        <v>107</v>
      </c>
      <c r="F10" s="70" t="s">
        <v>108</v>
      </c>
      <c r="G10" s="77" t="s">
        <v>109</v>
      </c>
      <c r="H10" s="71" t="s">
        <v>245</v>
      </c>
      <c r="I10" s="71" t="s">
        <v>246</v>
      </c>
      <c r="J10" s="71" t="s">
        <v>247</v>
      </c>
      <c r="K10" s="71" t="s">
        <v>249</v>
      </c>
      <c r="L10" s="77" t="s">
        <v>110</v>
      </c>
      <c r="M10" s="71" t="s">
        <v>116</v>
      </c>
      <c r="N10" s="71" t="s">
        <v>117</v>
      </c>
      <c r="O10" s="71" t="s">
        <v>118</v>
      </c>
      <c r="P10" s="71" t="s">
        <v>4</v>
      </c>
      <c r="Q10" s="78" t="s">
        <v>250</v>
      </c>
    </row>
    <row r="11" spans="1:17" ht="24.95" customHeight="1" thickTop="1" x14ac:dyDescent="0.2">
      <c r="A11" s="61"/>
      <c r="B11" s="21">
        <v>1</v>
      </c>
      <c r="C11" s="72" t="s">
        <v>2</v>
      </c>
      <c r="D11" s="73" t="s">
        <v>20</v>
      </c>
      <c r="E11" s="22" t="s">
        <v>310</v>
      </c>
      <c r="F11" s="76" t="str">
        <f>IF(Table2[[#This Row],[Item '#]]&lt;&gt;"",VLOOKUP(Table2[[#This Row],[Item '#]],Items!$B$2:$O$102,13,0),"")</f>
        <v>Standard</v>
      </c>
      <c r="G11" s="139">
        <f>IFERROR(IF(Table2[[#This Row],[Item '#]]&lt;&gt;"",VLOOKUP(Table2[[#This Row],[Item '#]],Items!$B$2:$O$101,14,0),""),"")</f>
        <v>5</v>
      </c>
      <c r="H11" s="140">
        <f>IFERROR(ROUNDUP(IF(Table2[[#This Row],[Item '#]]&lt;&gt;"",VLOOKUP(Table2[[#This Row],[Item '#]],Items!$B$2:$O$101,5,0),"")/0.85,0),"")</f>
        <v>2</v>
      </c>
      <c r="I11" s="140">
        <f>IFERROR(ROUNDUP(IF(Table2[[#This Row],[Item '#]]&lt;&gt;"",VLOOKUP(Table2[[#This Row],[Item '#]],Items!$B$2:$O$101,6,0),"")/0.85,0),"")</f>
        <v>2</v>
      </c>
      <c r="J11" s="140">
        <f>IFERROR(ROUNDUP(IF(Table2[[#This Row],[Item '#]]&lt;&gt;"",VLOOKUP(Table2[[#This Row],[Item '#]],Items!$B$2:$O$101,7,0),"")/0.85,0),"")</f>
        <v>2</v>
      </c>
      <c r="K11" s="141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>0</v>
      </c>
      <c r="L11" s="85">
        <f>IFERROR(Table2[[#This Row],[Points]]*Table2[[#This Row],[Qty]],"")</f>
        <v>5</v>
      </c>
      <c r="M11" s="86">
        <f>IFERROR(Table2[[#This Row],[ETL (hrs)]]*Table2[[#This Row],[Qty]],"")</f>
        <v>2</v>
      </c>
      <c r="N11" s="86">
        <f>IFERROR(Table2[[#This Row],[MSTR (hrs)]]*Table2[[#This Row],[Qty]],"")</f>
        <v>2</v>
      </c>
      <c r="O11" s="87">
        <f>IFERROR(Table2[[#This Row],[QA (hrs)]]*Table2[[#This Row],[Qty]],"")</f>
        <v>2</v>
      </c>
      <c r="P11" s="87">
        <f>IFERROR(Table2[[#This Row],[Others (hrs)]]*Table2[[#This Row],[Qty]],"")</f>
        <v>0</v>
      </c>
      <c r="Q11" s="87">
        <f>SUM(Table2[[#This Row],[ETL]:[Others]])</f>
        <v>6</v>
      </c>
    </row>
    <row r="12" spans="1:17" ht="24.95" customHeight="1" x14ac:dyDescent="0.2">
      <c r="A12" s="61"/>
      <c r="B12" s="21">
        <v>5</v>
      </c>
      <c r="C12" s="72" t="s">
        <v>1</v>
      </c>
      <c r="D12" s="81" t="s">
        <v>25</v>
      </c>
      <c r="E12" s="22" t="s">
        <v>311</v>
      </c>
      <c r="F12" s="76" t="str">
        <f>IF(Table2[[#This Row],[Item '#]]&lt;&gt;"",VLOOKUP(Table2[[#This Row],[Item '#]],Items!$B$2:$O$102,13,0),"")</f>
        <v>Simple</v>
      </c>
      <c r="G12" s="139">
        <f>IFERROR(IF(Table2[[#This Row],[Item '#]]&lt;&gt;"",VLOOKUP(Table2[[#This Row],[Item '#]],Items!$B$2:$O$101,14,0),""),"")</f>
        <v>1</v>
      </c>
      <c r="H12" s="140">
        <f>IFERROR(ROUNDUP(IF(Table2[[#This Row],[Item '#]]&lt;&gt;"",VLOOKUP(Table2[[#This Row],[Item '#]],Items!$B$2:$O$101,5,0),"")/0.85,0),"")</f>
        <v>2</v>
      </c>
      <c r="I12" s="140">
        <f>IFERROR(ROUNDUP(IF(Table2[[#This Row],[Item '#]]&lt;&gt;"",VLOOKUP(Table2[[#This Row],[Item '#]],Items!$B$2:$O$101,6,0),"")/0.85,0),"")</f>
        <v>2</v>
      </c>
      <c r="J12" s="140">
        <f>IFERROR(ROUNDUP(IF(Table2[[#This Row],[Item '#]]&lt;&gt;"",VLOOKUP(Table2[[#This Row],[Item '#]],Items!$B$2:$O$101,7,0),"")/0.85,0),"")</f>
        <v>2</v>
      </c>
      <c r="K12" s="141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>0</v>
      </c>
      <c r="L12" s="85">
        <f>IFERROR(Table2[[#This Row],[Points]]*Table2[[#This Row],[Qty]],"")</f>
        <v>5</v>
      </c>
      <c r="M12" s="86">
        <f>IFERROR(Table2[[#This Row],[ETL (hrs)]]*Table2[[#This Row],[Qty]],"")</f>
        <v>10</v>
      </c>
      <c r="N12" s="86">
        <f>IFERROR(Table2[[#This Row],[MSTR (hrs)]]*Table2[[#This Row],[Qty]],"")</f>
        <v>10</v>
      </c>
      <c r="O12" s="87">
        <f>IFERROR(Table2[[#This Row],[QA (hrs)]]*Table2[[#This Row],[Qty]],"")</f>
        <v>10</v>
      </c>
      <c r="P12" s="87">
        <f>IFERROR(Table2[[#This Row],[Others (hrs)]]*Table2[[#This Row],[Qty]],"")</f>
        <v>0</v>
      </c>
      <c r="Q12" s="87">
        <f>SUM(Table2[[#This Row],[ETL]:[Others]])</f>
        <v>30</v>
      </c>
    </row>
    <row r="13" spans="1:17" ht="24.95" customHeight="1" x14ac:dyDescent="0.2">
      <c r="A13" s="61"/>
      <c r="B13" s="21">
        <v>1</v>
      </c>
      <c r="C13" s="72" t="s">
        <v>2</v>
      </c>
      <c r="D13" s="73" t="s">
        <v>47</v>
      </c>
      <c r="E13" s="22" t="s">
        <v>312</v>
      </c>
      <c r="F13" s="76" t="str">
        <f>IF(Table2[[#This Row],[Item '#]]&lt;&gt;"",VLOOKUP(Table2[[#This Row],[Item '#]],Items!$B$2:$O$102,13,0),"")</f>
        <v>Standard</v>
      </c>
      <c r="G13" s="139">
        <f>IFERROR(IF(Table2[[#This Row],[Item '#]]&lt;&gt;"",VLOOKUP(Table2[[#This Row],[Item '#]],Items!$B$2:$O$101,14,0),""),"")</f>
        <v>18</v>
      </c>
      <c r="H13" s="140">
        <f>IFERROR(ROUNDUP(IF(Table2[[#This Row],[Item '#]]&lt;&gt;"",VLOOKUP(Table2[[#This Row],[Item '#]],Items!$B$2:$O$101,5,0),"")/0.85,0),"")</f>
        <v>19</v>
      </c>
      <c r="I13" s="140">
        <f>IFERROR(ROUNDUP(IF(Table2[[#This Row],[Item '#]]&lt;&gt;"",VLOOKUP(Table2[[#This Row],[Item '#]],Items!$B$2:$O$101,6,0),"")/0.85,0),"")</f>
        <v>19</v>
      </c>
      <c r="J13" s="140">
        <f>IFERROR(ROUNDUP(IF(Table2[[#This Row],[Item '#]]&lt;&gt;"",VLOOKUP(Table2[[#This Row],[Item '#]],Items!$B$2:$O$101,7,0),"")/0.85,0),"")</f>
        <v>19</v>
      </c>
      <c r="K13" s="141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>3</v>
      </c>
      <c r="L13" s="85">
        <f>IFERROR(Table2[[#This Row],[Points]]*Table2[[#This Row],[Qty]],"")</f>
        <v>18</v>
      </c>
      <c r="M13" s="86">
        <f>IFERROR(Table2[[#This Row],[ETL (hrs)]]*Table2[[#This Row],[Qty]],"")</f>
        <v>19</v>
      </c>
      <c r="N13" s="86">
        <f>IFERROR(Table2[[#This Row],[MSTR (hrs)]]*Table2[[#This Row],[Qty]],"")</f>
        <v>19</v>
      </c>
      <c r="O13" s="87">
        <f>IFERROR(Table2[[#This Row],[QA (hrs)]]*Table2[[#This Row],[Qty]],"")</f>
        <v>19</v>
      </c>
      <c r="P13" s="87">
        <f>IFERROR(Table2[[#This Row],[Others (hrs)]]*Table2[[#This Row],[Qty]],"")</f>
        <v>3</v>
      </c>
      <c r="Q13" s="87">
        <f>SUM(Table2[[#This Row],[ETL]:[Others]])</f>
        <v>60</v>
      </c>
    </row>
    <row r="14" spans="1:17" ht="24.95" customHeight="1" x14ac:dyDescent="0.2">
      <c r="A14" s="61"/>
      <c r="B14" s="21">
        <v>1</v>
      </c>
      <c r="C14" s="72" t="s">
        <v>2</v>
      </c>
      <c r="D14" s="73" t="s">
        <v>70</v>
      </c>
      <c r="E14" s="22" t="s">
        <v>313</v>
      </c>
      <c r="F14" s="76" t="str">
        <f>IF(Table2[[#This Row],[Item '#]]&lt;&gt;"",VLOOKUP(Table2[[#This Row],[Item '#]],Items!$B$2:$O$102,13,0),"")</f>
        <v>Simple</v>
      </c>
      <c r="G14" s="139">
        <f>IFERROR(IF(Table2[[#This Row],[Item '#]]&lt;&gt;"",VLOOKUP(Table2[[#This Row],[Item '#]],Items!$B$2:$O$101,14,0),""),"")</f>
        <v>8</v>
      </c>
      <c r="H14" s="140">
        <f>IFERROR(ROUNDUP(IF(Table2[[#This Row],[Item '#]]&lt;&gt;"",VLOOKUP(Table2[[#This Row],[Item '#]],Items!$B$2:$O$101,5,0),"")/0.85,0),"")</f>
        <v>0</v>
      </c>
      <c r="I14" s="140">
        <f>IFERROR(ROUNDUP(IF(Table2[[#This Row],[Item '#]]&lt;&gt;"",VLOOKUP(Table2[[#This Row],[Item '#]],Items!$B$2:$O$101,6,0),"")/0.85,0),"")</f>
        <v>10</v>
      </c>
      <c r="J14" s="140">
        <f>IFERROR(ROUNDUP(IF(Table2[[#This Row],[Item '#]]&lt;&gt;"",VLOOKUP(Table2[[#This Row],[Item '#]],Items!$B$2:$O$101,7,0),"")/0.85,0),"")</f>
        <v>10</v>
      </c>
      <c r="K14" s="141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>0</v>
      </c>
      <c r="L14" s="85">
        <f>IFERROR(Table2[[#This Row],[Points]]*Table2[[#This Row],[Qty]],"")</f>
        <v>8</v>
      </c>
      <c r="M14" s="86">
        <f>IFERROR(Table2[[#This Row],[ETL (hrs)]]*Table2[[#This Row],[Qty]],"")</f>
        <v>0</v>
      </c>
      <c r="N14" s="86">
        <f>IFERROR(Table2[[#This Row],[MSTR (hrs)]]*Table2[[#This Row],[Qty]],"")</f>
        <v>10</v>
      </c>
      <c r="O14" s="87">
        <f>IFERROR(Table2[[#This Row],[QA (hrs)]]*Table2[[#This Row],[Qty]],"")</f>
        <v>10</v>
      </c>
      <c r="P14" s="87">
        <f>IFERROR(Table2[[#This Row],[Others (hrs)]]*Table2[[#This Row],[Qty]],"")</f>
        <v>0</v>
      </c>
      <c r="Q14" s="87">
        <f>SUM(Table2[[#This Row],[ETL]:[Others]])</f>
        <v>20</v>
      </c>
    </row>
    <row r="15" spans="1:17" ht="24.95" customHeight="1" x14ac:dyDescent="0.2">
      <c r="A15" s="61"/>
      <c r="B15" s="21">
        <v>1</v>
      </c>
      <c r="C15" s="72" t="s">
        <v>6</v>
      </c>
      <c r="D15" s="73" t="s">
        <v>16</v>
      </c>
      <c r="E15" s="22" t="s">
        <v>314</v>
      </c>
      <c r="F15" s="76" t="str">
        <f>IF(Table2[[#This Row],[Item '#]]&lt;&gt;"",VLOOKUP(Table2[[#This Row],[Item '#]],Items!$B$2:$O$102,13,0),"")</f>
        <v>Simple</v>
      </c>
      <c r="G15" s="139">
        <f>IFERROR(IF(Table2[[#This Row],[Item '#]]&lt;&gt;"",VLOOKUP(Table2[[#This Row],[Item '#]],Items!$B$2:$O$101,14,0),""),"")</f>
        <v>4</v>
      </c>
      <c r="H15" s="140">
        <f>IFERROR(ROUNDUP(IF(Table2[[#This Row],[Item '#]]&lt;&gt;"",VLOOKUP(Table2[[#This Row],[Item '#]],Items!$B$2:$O$101,5,0),"")/0.85,0),"")</f>
        <v>0</v>
      </c>
      <c r="I15" s="140">
        <f>IFERROR(ROUNDUP(IF(Table2[[#This Row],[Item '#]]&lt;&gt;"",VLOOKUP(Table2[[#This Row],[Item '#]],Items!$B$2:$O$101,6,0),"")/0.85,0),"")</f>
        <v>10</v>
      </c>
      <c r="J15" s="140">
        <f>IFERROR(ROUNDUP(IF(Table2[[#This Row],[Item '#]]&lt;&gt;"",VLOOKUP(Table2[[#This Row],[Item '#]],Items!$B$2:$O$101,7,0),"")/0.85,0),"")</f>
        <v>5</v>
      </c>
      <c r="K15" s="141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>0</v>
      </c>
      <c r="L15" s="85">
        <f>IFERROR(Table2[[#This Row],[Points]]*Table2[[#This Row],[Qty]],"")</f>
        <v>4</v>
      </c>
      <c r="M15" s="86">
        <f>IFERROR(Table2[[#This Row],[ETL (hrs)]]*Table2[[#This Row],[Qty]],"")</f>
        <v>0</v>
      </c>
      <c r="N15" s="86">
        <f>IFERROR(Table2[[#This Row],[MSTR (hrs)]]*Table2[[#This Row],[Qty]],"")</f>
        <v>10</v>
      </c>
      <c r="O15" s="87">
        <f>IFERROR(Table2[[#This Row],[QA (hrs)]]*Table2[[#This Row],[Qty]],"")</f>
        <v>5</v>
      </c>
      <c r="P15" s="87">
        <f>IFERROR(Table2[[#This Row],[Others (hrs)]]*Table2[[#This Row],[Qty]],"")</f>
        <v>0</v>
      </c>
      <c r="Q15" s="87">
        <f>SUM(Table2[[#This Row],[ETL]:[Others]])</f>
        <v>15</v>
      </c>
    </row>
    <row r="16" spans="1:17" ht="24.95" customHeight="1" x14ac:dyDescent="0.2">
      <c r="A16" s="61"/>
      <c r="B16" s="21">
        <v>1</v>
      </c>
      <c r="C16" s="72" t="s">
        <v>2</v>
      </c>
      <c r="D16" s="73" t="s">
        <v>76</v>
      </c>
      <c r="E16" s="22" t="s">
        <v>315</v>
      </c>
      <c r="F16" s="76" t="str">
        <f>IF(Table2[[#This Row],[Item '#]]&lt;&gt;"",VLOOKUP(Table2[[#This Row],[Item '#]],Items!$B$2:$O$102,13,0),"")</f>
        <v>Standard</v>
      </c>
      <c r="G16" s="139">
        <f>IFERROR(IF(Table2[[#This Row],[Item '#]]&lt;&gt;"",VLOOKUP(Table2[[#This Row],[Item '#]],Items!$B$2:$O$101,14,0),""),"")</f>
        <v>18</v>
      </c>
      <c r="H16" s="140">
        <f>IFERROR(ROUNDUP(IF(Table2[[#This Row],[Item '#]]&lt;&gt;"",VLOOKUP(Table2[[#This Row],[Item '#]],Items!$B$2:$O$101,5,0),"")/0.85,0),"")</f>
        <v>38</v>
      </c>
      <c r="I16" s="140">
        <f>IFERROR(ROUNDUP(IF(Table2[[#This Row],[Item '#]]&lt;&gt;"",VLOOKUP(Table2[[#This Row],[Item '#]],Items!$B$2:$O$101,6,0),"")/0.85,0),"")</f>
        <v>12</v>
      </c>
      <c r="J16" s="140">
        <f>IFERROR(ROUNDUP(IF(Table2[[#This Row],[Item '#]]&lt;&gt;"",VLOOKUP(Table2[[#This Row],[Item '#]],Items!$B$2:$O$101,7,0),"")/0.85,0),"")</f>
        <v>19</v>
      </c>
      <c r="K16" s="141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>4</v>
      </c>
      <c r="L16" s="85">
        <f>IFERROR(Table2[[#This Row],[Points]]*Table2[[#This Row],[Qty]],"")</f>
        <v>18</v>
      </c>
      <c r="M16" s="86">
        <f>IFERROR(Table2[[#This Row],[ETL (hrs)]]*Table2[[#This Row],[Qty]],"")</f>
        <v>38</v>
      </c>
      <c r="N16" s="86">
        <f>IFERROR(Table2[[#This Row],[MSTR (hrs)]]*Table2[[#This Row],[Qty]],"")</f>
        <v>12</v>
      </c>
      <c r="O16" s="87">
        <f>IFERROR(Table2[[#This Row],[QA (hrs)]]*Table2[[#This Row],[Qty]],"")</f>
        <v>19</v>
      </c>
      <c r="P16" s="87">
        <f>IFERROR(Table2[[#This Row],[Others (hrs)]]*Table2[[#This Row],[Qty]],"")</f>
        <v>4</v>
      </c>
      <c r="Q16" s="87">
        <f>SUM(Table2[[#This Row],[ETL]:[Others]])</f>
        <v>73</v>
      </c>
    </row>
    <row r="17" spans="1:17" ht="24.95" customHeight="1" x14ac:dyDescent="0.2">
      <c r="B17" s="21"/>
      <c r="C17" s="72"/>
      <c r="D17" s="81"/>
      <c r="E17" s="22"/>
      <c r="F17" s="82" t="str">
        <f>IF(Table2[[#This Row],[Item '#]]&lt;&gt;"",VLOOKUP(Table2[[#This Row],[Item '#]],Items!$B$2:$O$102,13,0),"")</f>
        <v/>
      </c>
      <c r="G17" s="139" t="str">
        <f>IFERROR(IF(Table2[[#This Row],[Item '#]]&lt;&gt;"",VLOOKUP(Table2[[#This Row],[Item '#]],Items!$B$2:$O$101,14,0),""),"")</f>
        <v/>
      </c>
      <c r="H17" s="140" t="str">
        <f>IFERROR(ROUNDUP(IF(Table2[[#This Row],[Item '#]]&lt;&gt;"",VLOOKUP(Table2[[#This Row],[Item '#]],Items!$B$2:$O$101,5,0),"")/0.85,0),"")</f>
        <v/>
      </c>
      <c r="I17" s="140" t="str">
        <f>IFERROR(ROUNDUP(IF(Table2[[#This Row],[Item '#]]&lt;&gt;"",VLOOKUP(Table2[[#This Row],[Item '#]],Items!$B$2:$O$101,6,0),"")/0.85,0),"")</f>
        <v/>
      </c>
      <c r="J17" s="140" t="str">
        <f>IFERROR(ROUNDUP(IF(Table2[[#This Row],[Item '#]]&lt;&gt;"",VLOOKUP(Table2[[#This Row],[Item '#]],Items!$B$2:$O$101,7,0),"")/0.85,0),"")</f>
        <v/>
      </c>
      <c r="K17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17" s="85" t="str">
        <f>IFERROR(Table2[[#This Row],[Points]]*Table2[[#This Row],[Qty]],"")</f>
        <v/>
      </c>
      <c r="M17" s="86" t="str">
        <f>IFERROR(Table2[[#This Row],[ETL (hrs)]]*Table2[[#This Row],[Qty]],"")</f>
        <v/>
      </c>
      <c r="N17" s="86" t="str">
        <f>IFERROR(Table2[[#This Row],[MSTR (hrs)]]*Table2[[#This Row],[Qty]],"")</f>
        <v/>
      </c>
      <c r="O17" s="87" t="str">
        <f>IFERROR(Table2[[#This Row],[QA (hrs)]]*Table2[[#This Row],[Qty]],"")</f>
        <v/>
      </c>
      <c r="P17" s="87" t="str">
        <f>IFERROR(Table2[[#This Row],[Others (hrs)]]*Table2[[#This Row],[Qty]],"")</f>
        <v/>
      </c>
      <c r="Q17" s="87">
        <f>SUM(Table2[[#This Row],[ETL]:[Others]])</f>
        <v>0</v>
      </c>
    </row>
    <row r="18" spans="1:17" ht="24.95" customHeight="1" x14ac:dyDescent="0.2">
      <c r="B18" s="21"/>
      <c r="C18" s="72"/>
      <c r="D18" s="81"/>
      <c r="E18" s="22"/>
      <c r="F18" s="82" t="str">
        <f>IF(Table2[[#This Row],[Item '#]]&lt;&gt;"",VLOOKUP(Table2[[#This Row],[Item '#]],Items!$B$2:$O$102,13,0),"")</f>
        <v/>
      </c>
      <c r="G18" s="139" t="str">
        <f>IFERROR(IF(Table2[[#This Row],[Item '#]]&lt;&gt;"",VLOOKUP(Table2[[#This Row],[Item '#]],Items!$B$2:$O$101,14,0),""),"")</f>
        <v/>
      </c>
      <c r="H18" s="140" t="str">
        <f>IFERROR(ROUNDUP(IF(Table2[[#This Row],[Item '#]]&lt;&gt;"",VLOOKUP(Table2[[#This Row],[Item '#]],Items!$B$2:$O$101,5,0),"")/0.85,0),"")</f>
        <v/>
      </c>
      <c r="I18" s="140" t="str">
        <f>IFERROR(ROUNDUP(IF(Table2[[#This Row],[Item '#]]&lt;&gt;"",VLOOKUP(Table2[[#This Row],[Item '#]],Items!$B$2:$O$101,6,0),"")/0.85,0),"")</f>
        <v/>
      </c>
      <c r="J18" s="140" t="str">
        <f>IFERROR(ROUNDUP(IF(Table2[[#This Row],[Item '#]]&lt;&gt;"",VLOOKUP(Table2[[#This Row],[Item '#]],Items!$B$2:$O$101,7,0),"")/0.85,0),"")</f>
        <v/>
      </c>
      <c r="K18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18" s="85" t="str">
        <f>IFERROR(Table2[[#This Row],[Points]]*Table2[[#This Row],[Qty]],"")</f>
        <v/>
      </c>
      <c r="M18" s="86" t="str">
        <f>IFERROR(Table2[[#This Row],[ETL (hrs)]]*Table2[[#This Row],[Qty]],"")</f>
        <v/>
      </c>
      <c r="N18" s="86" t="str">
        <f>IFERROR(Table2[[#This Row],[MSTR (hrs)]]*Table2[[#This Row],[Qty]],"")</f>
        <v/>
      </c>
      <c r="O18" s="87" t="str">
        <f>IFERROR(Table2[[#This Row],[QA (hrs)]]*Table2[[#This Row],[Qty]],"")</f>
        <v/>
      </c>
      <c r="P18" s="87" t="str">
        <f>IFERROR(Table2[[#This Row],[Others (hrs)]]*Table2[[#This Row],[Qty]],"")</f>
        <v/>
      </c>
      <c r="Q18" s="87">
        <f>SUM(Table2[[#This Row],[ETL]:[Others]])</f>
        <v>0</v>
      </c>
    </row>
    <row r="19" spans="1:17" s="69" customFormat="1" ht="24.95" customHeight="1" x14ac:dyDescent="0.2">
      <c r="A19" s="65"/>
      <c r="B19" s="21"/>
      <c r="C19" s="72"/>
      <c r="D19" s="81"/>
      <c r="E19" s="22"/>
      <c r="F19" s="82" t="str">
        <f>IF(Table2[[#This Row],[Item '#]]&lt;&gt;"",VLOOKUP(Table2[[#This Row],[Item '#]],Items!$B$2:$O$102,13,0),"")</f>
        <v/>
      </c>
      <c r="G19" s="139" t="str">
        <f>IFERROR(IF(Table2[[#This Row],[Item '#]]&lt;&gt;"",VLOOKUP(Table2[[#This Row],[Item '#]],Items!$B$2:$O$102,14,0),""),"")</f>
        <v/>
      </c>
      <c r="H19" s="140" t="str">
        <f>IFERROR(ROUNDUP(IF(Table2[[#This Row],[Item '#]]&lt;&gt;"",VLOOKUP(Table2[[#This Row],[Item '#]],Items!$B$2:$O$101,5,0),"")/0.85,0),"")</f>
        <v/>
      </c>
      <c r="I19" s="140" t="str">
        <f>IFERROR(ROUNDUP(IF(Table2[[#This Row],[Item '#]]&lt;&gt;"",VLOOKUP(Table2[[#This Row],[Item '#]],Items!$B$2:$O$101,6,0),"")/0.85,0),"")</f>
        <v/>
      </c>
      <c r="J19" s="140" t="str">
        <f>IFERROR(ROUNDUP(IF(Table2[[#This Row],[Item '#]]&lt;&gt;"",VLOOKUP(Table2[[#This Row],[Item '#]],Items!$B$2:$O$101,7,0),"")/0.85,0),"")</f>
        <v/>
      </c>
      <c r="K19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19" s="85" t="str">
        <f>IFERROR(Table2[[#This Row],[Points]]*Table2[[#This Row],[Qty]],"")</f>
        <v/>
      </c>
      <c r="M19" s="86" t="str">
        <f>IFERROR(Table2[[#This Row],[ETL (hrs)]]*Table2[[#This Row],[Qty]],"")</f>
        <v/>
      </c>
      <c r="N19" s="86" t="str">
        <f>IFERROR(Table2[[#This Row],[MSTR (hrs)]]*Table2[[#This Row],[Qty]],"")</f>
        <v/>
      </c>
      <c r="O19" s="87" t="str">
        <f>IFERROR(Table2[[#This Row],[QA (hrs)]]*Table2[[#This Row],[Qty]],"")</f>
        <v/>
      </c>
      <c r="P19" s="87" t="str">
        <f>IFERROR(Table2[[#This Row],[Others (hrs)]]*Table2[[#This Row],[Qty]],"")</f>
        <v/>
      </c>
      <c r="Q19" s="87">
        <f>SUM(Table2[[#This Row],[ETL]:[Others]])</f>
        <v>0</v>
      </c>
    </row>
    <row r="20" spans="1:17" ht="24.95" customHeight="1" x14ac:dyDescent="0.2">
      <c r="B20" s="21"/>
      <c r="C20" s="72"/>
      <c r="D20" s="81"/>
      <c r="E20" s="90"/>
      <c r="F20" s="91" t="str">
        <f>IF(Table2[[#This Row],[Item '#]]&lt;&gt;"",VLOOKUP(Table2[[#This Row],[Item '#]],Items!$B$2:$O$102,13,0),"")</f>
        <v/>
      </c>
      <c r="G20" s="143" t="str">
        <f>IFERROR(IF(Table2[[#This Row],[Item '#]]&lt;&gt;"",VLOOKUP(Table2[[#This Row],[Item '#]],Items!$B$2:$O$102,14,0),""),"")</f>
        <v/>
      </c>
      <c r="H20" s="140" t="str">
        <f>IFERROR(ROUNDUP(IF(Table2[[#This Row],[Item '#]]&lt;&gt;"",VLOOKUP(Table2[[#This Row],[Item '#]],Items!$B$2:$O$101,5,0),"")/0.85,0),"")</f>
        <v/>
      </c>
      <c r="I20" s="140" t="str">
        <f>IFERROR(ROUNDUP(IF(Table2[[#This Row],[Item '#]]&lt;&gt;"",VLOOKUP(Table2[[#This Row],[Item '#]],Items!$B$2:$O$101,6,0),"")/0.85,0),"")</f>
        <v/>
      </c>
      <c r="J20" s="140" t="str">
        <f>IFERROR(ROUNDUP(IF(Table2[[#This Row],[Item '#]]&lt;&gt;"",VLOOKUP(Table2[[#This Row],[Item '#]],Items!$B$2:$O$101,7,0),"")/0.85,0),"")</f>
        <v/>
      </c>
      <c r="K20" s="141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(hrs)]])/0.85,0),"")</f>
        <v/>
      </c>
      <c r="L20" s="85" t="str">
        <f>IFERROR(Table2[[#This Row],[Points]]*Table2[[#This Row],[Qty]],"")</f>
        <v/>
      </c>
      <c r="M20" s="86" t="str">
        <f>IFERROR(Table2[[#This Row],[ETL (hrs)]]*Table2[[#This Row],[Qty]],"")</f>
        <v/>
      </c>
      <c r="N20" s="86" t="str">
        <f>IFERROR(Table2[[#This Row],[MSTR (hrs)]]*Table2[[#This Row],[Qty]],"")</f>
        <v/>
      </c>
      <c r="O20" s="87" t="str">
        <f>IFERROR(Table2[[#This Row],[QA (hrs)]]*Table2[[#This Row],[Qty]],"")</f>
        <v/>
      </c>
      <c r="P20" s="87" t="str">
        <f>IFERROR(Table2[[#This Row],[Others (hrs)]]*Table2[[#This Row],[Qty]],"")</f>
        <v/>
      </c>
      <c r="Q20" s="87">
        <f>SUM(Table2[[#This Row],[ETL]:[Others]])</f>
        <v>0</v>
      </c>
    </row>
    <row r="21" spans="1:17" x14ac:dyDescent="0.2">
      <c r="B21" s="62"/>
      <c r="C21" s="63"/>
      <c r="D21" s="64"/>
      <c r="E21" s="253" t="s">
        <v>242</v>
      </c>
      <c r="F21" s="253"/>
      <c r="G21" s="253"/>
      <c r="H21" s="253"/>
      <c r="I21" s="253"/>
      <c r="J21" s="253"/>
      <c r="K21" s="253"/>
      <c r="L21" s="93">
        <f>SUM(Table2[Points Total])</f>
        <v>58</v>
      </c>
      <c r="M21" s="93">
        <f>SUM(Table2[ETL])</f>
        <v>69</v>
      </c>
      <c r="N21" s="94">
        <f>SUM(Table2[MSTR])</f>
        <v>63</v>
      </c>
      <c r="O21" s="94">
        <f>SUM(Table2[QA])</f>
        <v>65</v>
      </c>
      <c r="P21" s="94">
        <f>SUM(Table2[Others])</f>
        <v>7</v>
      </c>
      <c r="Q21" s="95">
        <f>IFERROR(IF(SUM(Q11:Q20)&gt;0,(SUM(Q11:Q20)*(1+IF($E$3="Yes",0.1+$E$4,$E$4)))+$E$5 + $E$6*2,""),"")</f>
        <v>256.60000000000002</v>
      </c>
    </row>
    <row r="22" spans="1:17" x14ac:dyDescent="0.2">
      <c r="B22" s="63"/>
      <c r="C22" s="63"/>
      <c r="D22" s="64"/>
      <c r="E22" s="254" t="s">
        <v>234</v>
      </c>
      <c r="F22" s="254"/>
      <c r="G22" s="254"/>
      <c r="H22" s="254"/>
      <c r="I22" s="254"/>
      <c r="J22" s="254"/>
      <c r="K22" s="254"/>
      <c r="L22" s="97">
        <v>0</v>
      </c>
      <c r="M22" s="252"/>
      <c r="N22" s="252"/>
      <c r="O22" s="252"/>
      <c r="P22" s="252"/>
      <c r="Q22" s="252"/>
    </row>
    <row r="23" spans="1:17" x14ac:dyDescent="0.2">
      <c r="B23" s="66"/>
      <c r="C23" s="67"/>
      <c r="D23" s="68"/>
      <c r="E23" s="253" t="s">
        <v>248</v>
      </c>
      <c r="F23" s="253"/>
      <c r="G23" s="253"/>
      <c r="H23" s="253"/>
      <c r="I23" s="253"/>
      <c r="J23" s="253"/>
      <c r="K23" s="253"/>
      <c r="L23" s="93">
        <f>IFERROR(ROUNDUP(IF(SUM(L21)&gt;0,SUM(L21*(1-L22)),""),0),"")</f>
        <v>58</v>
      </c>
      <c r="M23" s="94">
        <f>IF($M$21&gt;0,($M$21*(1+IF($E$3="Yes",0.1+$E$4,$E$4)))+$E$5,"")</f>
        <v>99.35</v>
      </c>
      <c r="N23" s="94">
        <f>IF($N$21&gt;0,($N$21*(1+IF($E$3="Yes",0.1+$E$4,$E$4))),"")</f>
        <v>72.449999999999989</v>
      </c>
      <c r="O23" s="94">
        <f>IF($O$21&gt;0,($O$21*(1+IF($E$3="Yes",0.1+$E$4,$E$4)))+ $E$6*2,"")</f>
        <v>76.75</v>
      </c>
      <c r="P23" s="94">
        <f>IF($P$21&gt;0,($P$21*(1+IF($E$3="Yes",0.1+$E$4,$E$4)))+$E$5+ $E$6*2,"")</f>
        <v>30.049999999999997</v>
      </c>
      <c r="Q23" s="242" t="b">
        <f>$Q$21=SUM($M$23:$P$23)</f>
        <v>0</v>
      </c>
    </row>
    <row r="24" spans="1:17" x14ac:dyDescent="0.2">
      <c r="E24" s="255" t="s">
        <v>251</v>
      </c>
      <c r="F24" s="255"/>
      <c r="G24" s="255"/>
      <c r="H24" s="255"/>
      <c r="I24" s="255"/>
      <c r="J24" s="255"/>
      <c r="K24" s="255"/>
      <c r="L24" s="96"/>
      <c r="M24" s="94">
        <f>IFERROR(ROUND($M$23/8,0),"")</f>
        <v>12</v>
      </c>
      <c r="N24" s="94">
        <f>IFERROR(ROUND($N$23/8,0),"")</f>
        <v>9</v>
      </c>
      <c r="O24" s="94">
        <f>IFERROR(ROUND($O$23/8,0),"")</f>
        <v>10</v>
      </c>
      <c r="P24" s="94">
        <f>IFERROR(ROUND($P$23/8,0),"")</f>
        <v>4</v>
      </c>
      <c r="Q24" s="243"/>
    </row>
    <row r="25" spans="1:17" x14ac:dyDescent="0.2">
      <c r="B25"/>
      <c r="C25"/>
      <c r="D25"/>
      <c r="E25"/>
      <c r="F25"/>
      <c r="G25"/>
      <c r="H25"/>
      <c r="I25"/>
      <c r="J25"/>
      <c r="K25"/>
      <c r="L25"/>
      <c r="M25"/>
    </row>
    <row r="27" spans="1:17" x14ac:dyDescent="0.2">
      <c r="H27" s="47"/>
      <c r="I27" s="47"/>
      <c r="J27" s="47"/>
      <c r="K27" s="47"/>
      <c r="L27" s="47"/>
      <c r="M27" s="47"/>
      <c r="N27" s="47"/>
    </row>
  </sheetData>
  <sheetProtection sheet="1" objects="1" scenarios="1"/>
  <mergeCells count="10">
    <mergeCell ref="Q23:Q24"/>
    <mergeCell ref="B2:C2"/>
    <mergeCell ref="L9:Q9"/>
    <mergeCell ref="D2:Q2"/>
    <mergeCell ref="M22:Q22"/>
    <mergeCell ref="G9:K9"/>
    <mergeCell ref="E21:K21"/>
    <mergeCell ref="E22:K22"/>
    <mergeCell ref="E23:K23"/>
    <mergeCell ref="E24:K24"/>
  </mergeCells>
  <phoneticPr fontId="13" type="noConversion"/>
  <dataValidations count="6">
    <dataValidation type="list" allowBlank="1" showInputMessage="1" showErrorMessage="1" sqref="E3" xr:uid="{574FC7C2-29A3-4A94-B6C2-977957C95F1A}">
      <formula1>"Yes,No"</formula1>
    </dataValidation>
    <dataValidation type="decimal" allowBlank="1" showInputMessage="1" showErrorMessage="1" sqref="E4:E5" xr:uid="{23E65EBF-BFF6-4FB6-B0D6-8A4343E960AE}">
      <formula1>0</formula1>
      <formula2>1</formula2>
    </dataValidation>
    <dataValidation type="whole" allowBlank="1" showInputMessage="1" showErrorMessage="1" sqref="E5" xr:uid="{49A05270-4401-4FC9-8B85-A36DF29FF8D8}">
      <formula1>0</formula1>
      <formula2>1000</formula2>
    </dataValidation>
    <dataValidation type="decimal" allowBlank="1" showInputMessage="1" showErrorMessage="1" sqref="L22" xr:uid="{6AE3E0DE-E254-4AA7-B26A-0C5799D921A1}">
      <formula1>0</formula1>
      <formula2>0.25</formula2>
    </dataValidation>
    <dataValidation type="list" allowBlank="1" showInputMessage="1" showErrorMessage="1" sqref="D11:D20" xr:uid="{E165F1A0-D20F-426E-8A2C-8D0C23CE213C}">
      <formula1>INDIRECT(C11)</formula1>
    </dataValidation>
    <dataValidation type="whole" allowBlank="1" showErrorMessage="1" errorTitle="Only Numbers allowed here" promptTitle="Please enter a number" prompt="Please enter a number between 0 and 1000" sqref="G11:K20" xr:uid="{AD9C219A-0E11-46E7-B218-819D525C32DE}">
      <formula1>0</formula1>
      <formula2>1000</formula2>
    </dataValidation>
  </dataValidations>
  <printOptions horizontalCentered="1"/>
  <pageMargins left="0.75" right="0.75" top="0.5" bottom="0.5" header="0.5" footer="0.5"/>
  <pageSetup orientation="portrait" r:id="rId1"/>
  <headerFooter alignWithMargins="0"/>
  <ignoredErrors>
    <ignoredError sqref="N21:P21 Q3 P23" unlockedFormula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B37148-B595-4D29-8350-22C1376221BB}">
          <x14:formula1>
            <xm:f>'Task Types'!$A$2:$J$2</xm:f>
          </x14:formula1>
          <xm:sqref>C11:C20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58D69-8133-484F-A53D-C76761DAA5DC}">
  <sheetPr codeName="Sheet2"/>
  <dimension ref="A1:M36"/>
  <sheetViews>
    <sheetView workbookViewId="0">
      <selection activeCell="J16" sqref="J16"/>
    </sheetView>
  </sheetViews>
  <sheetFormatPr defaultRowHeight="12.75" x14ac:dyDescent="0.2"/>
  <cols>
    <col min="1" max="1" width="8.7109375" bestFit="1" customWidth="1"/>
    <col min="2" max="2" width="11.85546875" style="31" bestFit="1" customWidth="1"/>
    <col min="3" max="3" width="26.140625" style="31" bestFit="1" customWidth="1"/>
    <col min="4" max="5" width="26.140625" style="31" customWidth="1"/>
    <col min="6" max="6" width="13.140625" bestFit="1" customWidth="1"/>
    <col min="7" max="9" width="13.140625" customWidth="1"/>
    <col min="10" max="10" width="14.85546875" bestFit="1" customWidth="1"/>
  </cols>
  <sheetData>
    <row r="1" spans="1:13" x14ac:dyDescent="0.2">
      <c r="A1" s="39">
        <f t="shared" ref="A1:J1" si="0">COUNTA(A2:A100)-1</f>
        <v>2</v>
      </c>
      <c r="B1" s="39">
        <f t="shared" si="0"/>
        <v>2</v>
      </c>
      <c r="C1" s="39">
        <f t="shared" si="0"/>
        <v>22</v>
      </c>
      <c r="D1" s="39">
        <f t="shared" si="0"/>
        <v>28</v>
      </c>
      <c r="E1" s="39">
        <f t="shared" si="0"/>
        <v>10</v>
      </c>
      <c r="F1" s="39">
        <f t="shared" si="0"/>
        <v>6</v>
      </c>
      <c r="G1" s="39">
        <f t="shared" si="0"/>
        <v>2</v>
      </c>
      <c r="H1" s="39">
        <f t="shared" si="0"/>
        <v>5</v>
      </c>
      <c r="I1" s="39">
        <f t="shared" si="0"/>
        <v>7</v>
      </c>
      <c r="J1" s="39">
        <f t="shared" si="0"/>
        <v>14</v>
      </c>
      <c r="K1" s="39">
        <f>SUM(A1:J1)</f>
        <v>98</v>
      </c>
      <c r="L1" s="39">
        <f>COUNTA(Items!A2:A1048576)-1</f>
        <v>98</v>
      </c>
      <c r="M1" t="str">
        <f>IF(L1=K1,"Okay","Incorrect")</f>
        <v>Okay</v>
      </c>
    </row>
    <row r="2" spans="1:13" ht="28.5" x14ac:dyDescent="0.2">
      <c r="A2" s="34" t="s">
        <v>0</v>
      </c>
      <c r="B2" s="35" t="s">
        <v>188</v>
      </c>
      <c r="C2" s="32" t="s">
        <v>1</v>
      </c>
      <c r="D2" s="34" t="s">
        <v>2</v>
      </c>
      <c r="E2" s="34" t="s">
        <v>3</v>
      </c>
      <c r="F2" s="36" t="s">
        <v>233</v>
      </c>
      <c r="G2" s="34" t="s">
        <v>5</v>
      </c>
      <c r="H2" s="33" t="s">
        <v>6</v>
      </c>
      <c r="I2" s="34" t="s">
        <v>4</v>
      </c>
      <c r="J2" s="38" t="s">
        <v>232</v>
      </c>
    </row>
    <row r="3" spans="1:13" ht="15" customHeight="1" x14ac:dyDescent="0.2">
      <c r="A3" s="19" t="s">
        <v>7</v>
      </c>
      <c r="B3" s="28" t="s">
        <v>8</v>
      </c>
      <c r="C3" s="4" t="s">
        <v>9</v>
      </c>
      <c r="D3" s="4" t="s">
        <v>11</v>
      </c>
      <c r="E3" s="37" t="s">
        <v>12</v>
      </c>
      <c r="F3" s="19" t="s">
        <v>13</v>
      </c>
      <c r="G3" s="4" t="s">
        <v>15</v>
      </c>
      <c r="H3" s="19" t="s">
        <v>16</v>
      </c>
      <c r="I3" s="19" t="s">
        <v>14</v>
      </c>
      <c r="J3" s="20" t="s">
        <v>86</v>
      </c>
    </row>
    <row r="4" spans="1:13" ht="15" customHeight="1" x14ac:dyDescent="0.2">
      <c r="A4" s="19" t="s">
        <v>17</v>
      </c>
      <c r="B4" s="29" t="s">
        <v>169</v>
      </c>
      <c r="C4" s="4" t="s">
        <v>18</v>
      </c>
      <c r="D4" s="4" t="s">
        <v>20</v>
      </c>
      <c r="E4" s="37" t="s">
        <v>21</v>
      </c>
      <c r="F4" s="19" t="s">
        <v>22</v>
      </c>
      <c r="G4" s="4" t="s">
        <v>24</v>
      </c>
      <c r="H4" s="75" t="s">
        <v>241</v>
      </c>
      <c r="I4" s="19" t="s">
        <v>23</v>
      </c>
      <c r="J4" s="20" t="s">
        <v>87</v>
      </c>
    </row>
    <row r="5" spans="1:13" ht="15" customHeight="1" x14ac:dyDescent="0.2">
      <c r="C5" s="4" t="s">
        <v>25</v>
      </c>
      <c r="D5" s="4" t="s">
        <v>27</v>
      </c>
      <c r="E5" s="142" t="s">
        <v>28</v>
      </c>
      <c r="F5" s="80" t="s">
        <v>10</v>
      </c>
      <c r="H5" s="88" t="s">
        <v>254</v>
      </c>
      <c r="I5" s="19" t="s">
        <v>30</v>
      </c>
      <c r="J5" s="20" t="s">
        <v>88</v>
      </c>
    </row>
    <row r="6" spans="1:13" ht="15" customHeight="1" x14ac:dyDescent="0.2">
      <c r="C6" s="5" t="s">
        <v>32</v>
      </c>
      <c r="D6" s="4" t="s">
        <v>34</v>
      </c>
      <c r="E6" s="19" t="s">
        <v>35</v>
      </c>
      <c r="F6" s="20" t="s">
        <v>19</v>
      </c>
      <c r="H6" s="19" t="s">
        <v>31</v>
      </c>
      <c r="I6" s="19" t="s">
        <v>37</v>
      </c>
      <c r="J6" s="20" t="s">
        <v>89</v>
      </c>
    </row>
    <row r="7" spans="1:13" ht="15" customHeight="1" x14ac:dyDescent="0.2">
      <c r="C7" s="4" t="s">
        <v>39</v>
      </c>
      <c r="D7" s="4" t="s">
        <v>41</v>
      </c>
      <c r="E7" s="19" t="s">
        <v>42</v>
      </c>
      <c r="F7" s="80" t="s">
        <v>26</v>
      </c>
      <c r="H7" s="37" t="s">
        <v>45</v>
      </c>
      <c r="I7" s="19" t="s">
        <v>44</v>
      </c>
      <c r="J7" s="20" t="s">
        <v>90</v>
      </c>
    </row>
    <row r="8" spans="1:13" ht="15" customHeight="1" x14ac:dyDescent="0.2">
      <c r="C8" s="4" t="s">
        <v>46</v>
      </c>
      <c r="D8" s="4" t="s">
        <v>47</v>
      </c>
      <c r="E8" s="20" t="s">
        <v>48</v>
      </c>
      <c r="F8" s="20" t="s">
        <v>40</v>
      </c>
      <c r="I8" s="19" t="s">
        <v>49</v>
      </c>
      <c r="J8" s="20" t="s">
        <v>33</v>
      </c>
    </row>
    <row r="9" spans="1:13" ht="15" customHeight="1" x14ac:dyDescent="0.2">
      <c r="C9" s="4" t="s">
        <v>50</v>
      </c>
      <c r="D9" s="4" t="s">
        <v>51</v>
      </c>
      <c r="E9" s="20" t="s">
        <v>52</v>
      </c>
      <c r="I9" s="19" t="s">
        <v>53</v>
      </c>
      <c r="J9" s="19" t="s">
        <v>29</v>
      </c>
    </row>
    <row r="10" spans="1:13" ht="15" customHeight="1" x14ac:dyDescent="0.2">
      <c r="C10" s="4" t="s">
        <v>54</v>
      </c>
      <c r="D10" s="4" t="s">
        <v>55</v>
      </c>
      <c r="E10" s="20" t="s">
        <v>56</v>
      </c>
      <c r="J10" s="19" t="s">
        <v>36</v>
      </c>
    </row>
    <row r="11" spans="1:13" ht="15" customHeight="1" x14ac:dyDescent="0.2">
      <c r="C11" s="4" t="s">
        <v>57</v>
      </c>
      <c r="D11" s="4" t="s">
        <v>58</v>
      </c>
      <c r="E11" s="20" t="s">
        <v>59</v>
      </c>
      <c r="J11" s="19" t="s">
        <v>43</v>
      </c>
    </row>
    <row r="12" spans="1:13" ht="15" customHeight="1" x14ac:dyDescent="0.2">
      <c r="C12" s="4" t="s">
        <v>60</v>
      </c>
      <c r="D12" s="4" t="s">
        <v>61</v>
      </c>
      <c r="E12" s="20" t="s">
        <v>62</v>
      </c>
      <c r="J12" s="42" t="s">
        <v>79</v>
      </c>
    </row>
    <row r="13" spans="1:13" ht="15" customHeight="1" x14ac:dyDescent="0.2">
      <c r="C13" s="4" t="s">
        <v>63</v>
      </c>
      <c r="D13" s="4" t="s">
        <v>64</v>
      </c>
      <c r="E13" s="40"/>
      <c r="J13" s="43" t="s">
        <v>174</v>
      </c>
    </row>
    <row r="14" spans="1:13" ht="15" customHeight="1" x14ac:dyDescent="0.2">
      <c r="C14" s="4" t="s">
        <v>65</v>
      </c>
      <c r="D14" s="4" t="s">
        <v>66</v>
      </c>
      <c r="E14" s="40"/>
      <c r="J14" s="88" t="s">
        <v>255</v>
      </c>
    </row>
    <row r="15" spans="1:13" ht="15" customHeight="1" x14ac:dyDescent="0.2">
      <c r="C15" s="4" t="s">
        <v>67</v>
      </c>
      <c r="D15" s="4" t="s">
        <v>68</v>
      </c>
      <c r="E15" s="40"/>
      <c r="J15" s="19" t="s">
        <v>38</v>
      </c>
    </row>
    <row r="16" spans="1:13" ht="15" customHeight="1" x14ac:dyDescent="0.2">
      <c r="C16" s="4" t="s">
        <v>69</v>
      </c>
      <c r="D16" s="4" t="s">
        <v>70</v>
      </c>
      <c r="E16" s="40"/>
      <c r="J16" s="144" t="s">
        <v>4</v>
      </c>
    </row>
    <row r="17" spans="3:5" ht="15" customHeight="1" x14ac:dyDescent="0.2">
      <c r="C17" s="4" t="s">
        <v>71</v>
      </c>
      <c r="D17" s="4" t="s">
        <v>72</v>
      </c>
      <c r="E17" s="40"/>
    </row>
    <row r="18" spans="3:5" ht="15" customHeight="1" x14ac:dyDescent="0.2">
      <c r="C18" s="4" t="s">
        <v>73</v>
      </c>
      <c r="D18" s="4" t="s">
        <v>74</v>
      </c>
      <c r="E18" s="40"/>
    </row>
    <row r="19" spans="3:5" ht="15" customHeight="1" x14ac:dyDescent="0.2">
      <c r="C19" s="4" t="s">
        <v>75</v>
      </c>
      <c r="D19" s="4" t="s">
        <v>76</v>
      </c>
      <c r="E19" s="40"/>
    </row>
    <row r="20" spans="3:5" ht="15" customHeight="1" x14ac:dyDescent="0.2">
      <c r="C20" s="4" t="s">
        <v>132</v>
      </c>
      <c r="D20" s="4" t="s">
        <v>77</v>
      </c>
      <c r="E20" s="40"/>
    </row>
    <row r="21" spans="3:5" ht="15" customHeight="1" x14ac:dyDescent="0.2">
      <c r="C21" s="4" t="s">
        <v>78</v>
      </c>
      <c r="D21" s="4" t="s">
        <v>144</v>
      </c>
      <c r="E21" s="40"/>
    </row>
    <row r="22" spans="3:5" ht="15" customHeight="1" x14ac:dyDescent="0.2">
      <c r="C22" s="30" t="s">
        <v>146</v>
      </c>
      <c r="D22" s="4" t="s">
        <v>150</v>
      </c>
      <c r="E22" s="40"/>
    </row>
    <row r="23" spans="3:5" ht="15" customHeight="1" x14ac:dyDescent="0.2">
      <c r="C23" s="30" t="s">
        <v>148</v>
      </c>
      <c r="D23" s="4" t="s">
        <v>152</v>
      </c>
      <c r="E23" s="40"/>
    </row>
    <row r="24" spans="3:5" ht="15" customHeight="1" x14ac:dyDescent="0.2">
      <c r="C24" s="30" t="s">
        <v>149</v>
      </c>
      <c r="D24" s="4" t="s">
        <v>153</v>
      </c>
      <c r="E24" s="40"/>
    </row>
    <row r="25" spans="3:5" ht="15" customHeight="1" x14ac:dyDescent="0.2">
      <c r="D25" s="4" t="s">
        <v>80</v>
      </c>
      <c r="E25" s="40"/>
    </row>
    <row r="26" spans="3:5" ht="15" customHeight="1" x14ac:dyDescent="0.2">
      <c r="D26" s="4" t="s">
        <v>81</v>
      </c>
      <c r="E26" s="40"/>
    </row>
    <row r="27" spans="3:5" ht="15" customHeight="1" x14ac:dyDescent="0.2">
      <c r="D27" s="4" t="s">
        <v>82</v>
      </c>
      <c r="E27" s="40"/>
    </row>
    <row r="28" spans="3:5" ht="15" customHeight="1" x14ac:dyDescent="0.2">
      <c r="D28" s="4" t="s">
        <v>83</v>
      </c>
      <c r="E28" s="40"/>
    </row>
    <row r="29" spans="3:5" ht="15" customHeight="1" x14ac:dyDescent="0.2">
      <c r="D29" s="4" t="s">
        <v>84</v>
      </c>
      <c r="E29" s="40"/>
    </row>
    <row r="30" spans="3:5" ht="15" customHeight="1" x14ac:dyDescent="0.2">
      <c r="D30" s="5" t="s">
        <v>85</v>
      </c>
      <c r="E30" s="41"/>
    </row>
    <row r="31" spans="3:5" ht="15" customHeight="1" x14ac:dyDescent="0.2"/>
    <row r="32" spans="3:5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</sheetData>
  <sheetProtection algorithmName="SHA-512" hashValue="jhB6D8/erweB59icLb4xvrI3zHCn9nBa01/WMbTehnQGzfdevadaJOJlghE+AhOiVs5z+gwZ2nmGJb8/BbLXHQ==" saltValue="NG+pRWU4UII6oP1+zrfhMg==" spinCount="100000" sheet="1" objects="1" scenarios="1"/>
  <sortState xmlns:xlrd2="http://schemas.microsoft.com/office/spreadsheetml/2017/richdata2" ref="A2:A91">
    <sortCondition ref="A2:A91"/>
  </sortState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855A5-5801-474B-840F-BEDD4BC78D70}">
  <sheetPr codeName="Sheet8"/>
  <dimension ref="A1:M27"/>
  <sheetViews>
    <sheetView showGridLines="0" zoomScale="80" zoomScaleNormal="80" workbookViewId="0">
      <selection activeCell="C7" sqref="C7"/>
    </sheetView>
  </sheetViews>
  <sheetFormatPr defaultColWidth="9.140625" defaultRowHeight="12.75" x14ac:dyDescent="0.2"/>
  <cols>
    <col min="1" max="1" width="2.5703125" style="44" customWidth="1"/>
    <col min="2" max="2" width="13" style="150" customWidth="1"/>
    <col min="3" max="3" width="20" style="46" bestFit="1" customWidth="1"/>
    <col min="4" max="4" width="13.5703125" style="46" bestFit="1" customWidth="1"/>
    <col min="5" max="5" width="21.140625" style="46" customWidth="1"/>
    <col min="6" max="6" width="11.140625" style="46" bestFit="1" customWidth="1"/>
    <col min="7" max="7" width="23.140625" style="46" bestFit="1" customWidth="1"/>
    <col min="8" max="8" width="41.140625" style="46" customWidth="1"/>
    <col min="9" max="9" width="56" style="46" bestFit="1" customWidth="1"/>
    <col min="10" max="10" width="22" style="46" bestFit="1" customWidth="1"/>
    <col min="11" max="11" width="15" style="150" bestFit="1" customWidth="1"/>
    <col min="12" max="12" width="109.5703125" style="170" bestFit="1" customWidth="1"/>
    <col min="13" max="13" width="9.140625" style="45" hidden="1" customWidth="1"/>
    <col min="14" max="16384" width="9.140625" style="45"/>
  </cols>
  <sheetData>
    <row r="1" spans="1:13" ht="2.25" customHeight="1" x14ac:dyDescent="0.2"/>
    <row r="2" spans="1:13" ht="18" customHeight="1" x14ac:dyDescent="0.2">
      <c r="B2" s="171"/>
      <c r="C2" s="155"/>
      <c r="D2" s="156" t="s">
        <v>292</v>
      </c>
      <c r="E2" s="57" t="s">
        <v>293</v>
      </c>
      <c r="F2" s="83"/>
      <c r="H2" s="173"/>
      <c r="I2" s="173"/>
    </row>
    <row r="3" spans="1:13" ht="17.100000000000001" customHeight="1" x14ac:dyDescent="0.2">
      <c r="B3" s="151"/>
      <c r="C3" s="152"/>
      <c r="D3" s="152"/>
      <c r="E3" s="57" t="s">
        <v>100</v>
      </c>
      <c r="F3" s="83"/>
      <c r="G3" s="151"/>
      <c r="H3" s="173"/>
      <c r="I3" s="173"/>
      <c r="J3" s="152"/>
    </row>
    <row r="4" spans="1:13" ht="17.100000000000001" customHeight="1" x14ac:dyDescent="0.2">
      <c r="B4" s="151"/>
      <c r="C4" s="151"/>
      <c r="D4" s="151"/>
      <c r="E4" s="152"/>
      <c r="F4" s="152"/>
      <c r="G4" s="151"/>
      <c r="H4" s="152"/>
      <c r="I4" s="152"/>
      <c r="J4" s="152"/>
      <c r="K4" s="164">
        <f>SUBTOTAL(9,Table257[Total Points])</f>
        <v>27</v>
      </c>
      <c r="L4" s="177"/>
    </row>
    <row r="5" spans="1:13" ht="15" customHeight="1" x14ac:dyDescent="0.2">
      <c r="B5" s="199" t="s">
        <v>104</v>
      </c>
      <c r="C5" s="200" t="s">
        <v>105</v>
      </c>
      <c r="D5" s="200" t="s">
        <v>106</v>
      </c>
      <c r="E5" s="180" t="s">
        <v>256</v>
      </c>
      <c r="F5" s="180" t="s">
        <v>177</v>
      </c>
      <c r="G5" s="180" t="s">
        <v>290</v>
      </c>
      <c r="H5" s="179" t="s">
        <v>294</v>
      </c>
      <c r="I5" s="181" t="s">
        <v>288</v>
      </c>
      <c r="J5" s="181" t="s">
        <v>295</v>
      </c>
      <c r="K5" s="180" t="s">
        <v>289</v>
      </c>
      <c r="L5" s="180" t="s">
        <v>291</v>
      </c>
      <c r="M5" s="157" t="s">
        <v>296</v>
      </c>
    </row>
    <row r="6" spans="1:13" ht="51" x14ac:dyDescent="0.2">
      <c r="A6" s="61"/>
      <c r="B6" s="158">
        <v>1</v>
      </c>
      <c r="C6" s="159" t="s">
        <v>3</v>
      </c>
      <c r="D6" s="159" t="s">
        <v>12</v>
      </c>
      <c r="E6" s="159" t="str">
        <f>IFERROR(IF(Table257[[#This Row],[Item '#]]&lt;&gt;"",VLOOKUP(Table257[[#This Row],[Item '#]],Items!$B$2:$O$100,12,0),""),"")</f>
        <v>New Source Integration (CSV)</v>
      </c>
      <c r="F6" s="160" t="s">
        <v>126</v>
      </c>
      <c r="G6" s="160">
        <v>4</v>
      </c>
      <c r="H6" s="159" t="str" cm="1">
        <f t="array" ref="H6">IFERROR(VLOOKUP(Table257[[#This Row],[Item Classification]],Table146[#All],MATCH(Table257[[#This Row],[Category]],Table146[#Headers],0)),"")</f>
        <v>Simple: Changes to up to 3 attribute/metric/grid/graph objects</v>
      </c>
      <c r="I6" s="192" t="s">
        <v>302</v>
      </c>
      <c r="J6" s="169" t="s">
        <v>301</v>
      </c>
      <c r="K6" s="202">
        <v>4</v>
      </c>
      <c r="L6" s="205"/>
      <c r="M6" s="197"/>
    </row>
    <row r="7" spans="1:13" s="61" customFormat="1" ht="191.25" x14ac:dyDescent="0.2">
      <c r="B7" s="160">
        <v>1</v>
      </c>
      <c r="C7" s="159" t="s">
        <v>3</v>
      </c>
      <c r="D7" s="159" t="s">
        <v>48</v>
      </c>
      <c r="E7" s="159" t="str">
        <f>IFERROR(IF(Table257[[#This Row],[Item '#]]&lt;&gt;"",VLOOKUP(Table257[[#This Row],[Item '#]],Items!$B$2:$O$100,12,0),""),"")</f>
        <v>New Source Integration (XLS)</v>
      </c>
      <c r="F7" s="160" t="s">
        <v>126</v>
      </c>
      <c r="G7" s="159">
        <v>5</v>
      </c>
      <c r="H7" s="159" t="str" cm="1">
        <f t="array" ref="H7">IFERROR(VLOOKUP(Table257[[#This Row],[Item Classification]],Table146[#All],MATCH(Table257[[#This Row],[Category]],Table146[#Headers],0)),"")</f>
        <v>Per ODBC Source</v>
      </c>
      <c r="I7" s="183" t="s">
        <v>304</v>
      </c>
      <c r="J7" s="166" t="s">
        <v>301</v>
      </c>
      <c r="K7" s="175">
        <v>5</v>
      </c>
      <c r="L7" s="207" t="s">
        <v>306</v>
      </c>
      <c r="M7" s="184">
        <v>9</v>
      </c>
    </row>
    <row r="8" spans="1:13" ht="102" x14ac:dyDescent="0.2">
      <c r="A8" s="61"/>
      <c r="B8" s="222">
        <v>1</v>
      </c>
      <c r="C8" s="201" t="s">
        <v>2</v>
      </c>
      <c r="D8" s="201" t="s">
        <v>47</v>
      </c>
      <c r="E8" s="201" t="str">
        <f>IFERROR(IF(Table257[[#This Row],[Item '#]]&lt;&gt;"",VLOOKUP(Table257[[#This Row],[Item '#]],Items!$B$2:$O$100,12,0),""),"")</f>
        <v>New Dataset (i.e. Report or Cube) (MD - &lt;=30 Objects)</v>
      </c>
      <c r="F8" s="201" t="s">
        <v>127</v>
      </c>
      <c r="G8" s="201">
        <v>18</v>
      </c>
      <c r="H8" s="201" t="str" cm="1">
        <f t="array" ref="H8">IFERROR(VLOOKUP(Table257[[#This Row],[Item Classification]],Table146[#All],MATCH(Table257[[#This Row],[Category]],Table146[#Headers],0)),"")</f>
        <v>Standard: Numerify Generated Metrics (requiring one case/if statement and no more than 2 source factors) &amp; Level Metrics with 1 level
*All Attributes required for logic above must previously exist or be built separately</v>
      </c>
      <c r="I8" s="183" t="s">
        <v>303</v>
      </c>
      <c r="J8" s="169" t="s">
        <v>305</v>
      </c>
      <c r="K8" s="182">
        <v>18</v>
      </c>
      <c r="L8" s="205" t="s">
        <v>307</v>
      </c>
      <c r="M8" s="197">
        <v>18</v>
      </c>
    </row>
    <row r="9" spans="1:13" x14ac:dyDescent="0.2">
      <c r="A9" s="61"/>
      <c r="B9" s="158"/>
      <c r="C9" s="159"/>
      <c r="D9" s="159"/>
      <c r="E9" s="159"/>
      <c r="F9" s="160"/>
      <c r="G9" s="160"/>
      <c r="H9" s="159"/>
      <c r="I9" s="192"/>
      <c r="J9" s="214"/>
      <c r="K9" s="204"/>
      <c r="L9" s="203"/>
      <c r="M9" s="197"/>
    </row>
    <row r="10" spans="1:13" x14ac:dyDescent="0.2">
      <c r="A10" s="61"/>
      <c r="B10" s="158"/>
      <c r="C10" s="159"/>
      <c r="D10" s="159"/>
      <c r="E10" s="159"/>
      <c r="F10" s="160"/>
      <c r="G10" s="160"/>
      <c r="H10" s="159"/>
      <c r="I10" s="192"/>
      <c r="J10" s="169"/>
      <c r="K10" s="204"/>
      <c r="L10" s="206"/>
      <c r="M10" s="184">
        <v>43</v>
      </c>
    </row>
    <row r="11" spans="1:13" x14ac:dyDescent="0.2">
      <c r="A11" s="61"/>
      <c r="B11" s="158"/>
      <c r="C11" s="159"/>
      <c r="D11" s="159"/>
      <c r="E11" s="159"/>
      <c r="F11" s="160"/>
      <c r="G11" s="159"/>
      <c r="H11" s="159"/>
      <c r="I11" s="167"/>
      <c r="J11" s="169"/>
      <c r="K11" s="175"/>
      <c r="L11" s="175"/>
      <c r="M11" s="197"/>
    </row>
    <row r="12" spans="1:13" ht="24.95" customHeight="1" x14ac:dyDescent="0.2">
      <c r="B12" s="158"/>
      <c r="C12" s="159"/>
      <c r="D12" s="178"/>
      <c r="E12" s="159"/>
      <c r="F12" s="160"/>
      <c r="G12" s="160"/>
      <c r="H12" s="159"/>
      <c r="I12" s="210"/>
      <c r="J12" s="209"/>
      <c r="K12" s="204"/>
      <c r="L12" s="206"/>
      <c r="M12" s="197"/>
    </row>
    <row r="13" spans="1:13" ht="24.95" customHeight="1" x14ac:dyDescent="0.2">
      <c r="B13" s="158"/>
      <c r="C13" s="159"/>
      <c r="D13" s="159"/>
      <c r="E13" s="159"/>
      <c r="F13" s="160"/>
      <c r="G13" s="159"/>
      <c r="H13" s="159"/>
      <c r="I13" s="175"/>
      <c r="J13" s="175"/>
      <c r="K13" s="175"/>
      <c r="L13" s="175"/>
      <c r="M13" s="197"/>
    </row>
    <row r="14" spans="1:13" s="69" customFormat="1" ht="24.95" customHeight="1" x14ac:dyDescent="0.2">
      <c r="A14" s="65"/>
      <c r="B14" s="158"/>
      <c r="C14" s="159"/>
      <c r="D14" s="159"/>
      <c r="E14" s="159"/>
      <c r="F14" s="160"/>
      <c r="G14" s="159"/>
      <c r="H14" s="159"/>
      <c r="I14" s="175"/>
      <c r="J14" s="175"/>
      <c r="K14" s="175"/>
      <c r="L14" s="175"/>
      <c r="M14" s="198"/>
    </row>
    <row r="15" spans="1:13" ht="24.95" customHeight="1" x14ac:dyDescent="0.2">
      <c r="B15" s="161"/>
      <c r="C15" s="162"/>
      <c r="D15" s="162"/>
      <c r="E15" s="162" t="str">
        <f>IFERROR(IF(Table257[[#This Row],[Item '#]]&lt;&gt;"",VLOOKUP(Table257[[#This Row],[Item '#]],Items!$B$2:$O$100,12,0),""),"")</f>
        <v/>
      </c>
      <c r="F15" s="163"/>
      <c r="G15" s="159"/>
      <c r="H15" s="159" t="str" cm="1">
        <f t="array" ref="H15">IFERROR(VLOOKUP(Table257[[#This Row],[Item Classification]],Table146[#All],MATCH(Table257[[#This Row],[Category]],Table146[#Headers],0)),"")</f>
        <v/>
      </c>
      <c r="I15" s="175"/>
      <c r="J15" s="175"/>
      <c r="K15" s="175"/>
      <c r="L15" s="175"/>
      <c r="M15" s="197"/>
    </row>
    <row r="16" spans="1:13" x14ac:dyDescent="0.2">
      <c r="B16" s="185"/>
      <c r="C16" s="186"/>
      <c r="D16" s="186"/>
      <c r="E16" s="186" t="str">
        <f>IFERROR(IF(Table257[[#This Row],[Item '#]]&lt;&gt;"",VLOOKUP(Table257[[#This Row],[Item '#]],Items!$B$2:$O$100,12,0),""),"")</f>
        <v/>
      </c>
      <c r="F16" s="187"/>
      <c r="G16" s="187"/>
      <c r="H16" s="186" t="str" cm="1">
        <f t="array" ref="H16">IFERROR(VLOOKUP(Table257[[#This Row],[Item Classification]],Table146[#All],MATCH(Table257[[#This Row],[Category]],Table146[#Headers],0)),"")</f>
        <v/>
      </c>
      <c r="I16" s="188"/>
      <c r="J16" s="188"/>
      <c r="K16" s="208"/>
      <c r="L16" s="203"/>
      <c r="M16" s="197"/>
    </row>
    <row r="17" spans="1:13" x14ac:dyDescent="0.2">
      <c r="B17" s="189"/>
      <c r="C17" s="190"/>
      <c r="D17" s="190"/>
      <c r="E17" s="190" t="str">
        <f>IFERROR(IF(Table257[[#This Row],[Item '#]]&lt;&gt;"",VLOOKUP(Table257[[#This Row],[Item '#]],Items!$B$2:$O$100,12,0),""),"")</f>
        <v/>
      </c>
      <c r="F17" s="165"/>
      <c r="G17" s="165"/>
      <c r="H17" s="190" t="str" cm="1">
        <f t="array" ref="H17">IFERROR(VLOOKUP(Table257[[#This Row],[Item Classification]],Table146[#All],MATCH(Table257[[#This Row],[Category]],Table146[#Headers],0)),"")</f>
        <v/>
      </c>
      <c r="I17" s="191"/>
      <c r="J17" s="191"/>
      <c r="K17" s="208"/>
      <c r="L17" s="203"/>
      <c r="M17" s="197">
        <v>38</v>
      </c>
    </row>
    <row r="18" spans="1:13" s="46" customFormat="1" x14ac:dyDescent="0.2">
      <c r="A18" s="44"/>
      <c r="B18"/>
      <c r="C18"/>
      <c r="D18"/>
      <c r="K18" s="150"/>
      <c r="L18" s="170"/>
    </row>
    <row r="19" spans="1:13" s="46" customFormat="1" x14ac:dyDescent="0.2">
      <c r="A19" s="44"/>
      <c r="B19"/>
      <c r="C19"/>
      <c r="D19"/>
      <c r="K19" s="150"/>
      <c r="L19" s="170"/>
    </row>
    <row r="20" spans="1:13" s="46" customFormat="1" x14ac:dyDescent="0.2">
      <c r="A20" s="44"/>
      <c r="B20"/>
      <c r="C20"/>
      <c r="D20"/>
      <c r="K20" s="150"/>
      <c r="L20" s="170"/>
    </row>
    <row r="21" spans="1:13" s="46" customFormat="1" x14ac:dyDescent="0.2">
      <c r="A21" s="44"/>
      <c r="B21"/>
      <c r="C21"/>
      <c r="D21"/>
      <c r="K21" s="150"/>
      <c r="L21" s="170"/>
    </row>
    <row r="22" spans="1:13" s="46" customFormat="1" x14ac:dyDescent="0.2">
      <c r="A22" s="44"/>
      <c r="B22"/>
      <c r="C22"/>
      <c r="D22"/>
      <c r="K22" s="150"/>
      <c r="L22" s="170"/>
    </row>
    <row r="23" spans="1:13" s="46" customFormat="1" x14ac:dyDescent="0.2">
      <c r="A23" s="44"/>
      <c r="B23"/>
      <c r="C23"/>
      <c r="D23"/>
      <c r="K23" s="150"/>
      <c r="L23" s="170"/>
    </row>
    <row r="24" spans="1:13" s="46" customFormat="1" x14ac:dyDescent="0.2">
      <c r="A24" s="44"/>
      <c r="B24"/>
      <c r="C24"/>
      <c r="D24"/>
      <c r="K24" s="150"/>
      <c r="L24" s="170"/>
    </row>
    <row r="25" spans="1:13" s="46" customFormat="1" x14ac:dyDescent="0.2">
      <c r="A25" s="44"/>
      <c r="B25"/>
      <c r="C25"/>
      <c r="D25"/>
      <c r="K25" s="150"/>
      <c r="L25" s="170"/>
    </row>
    <row r="26" spans="1:13" s="46" customFormat="1" x14ac:dyDescent="0.2">
      <c r="A26" s="44"/>
      <c r="B26"/>
      <c r="C26"/>
      <c r="D26"/>
      <c r="K26" s="150"/>
      <c r="L26" s="170"/>
    </row>
    <row r="27" spans="1:13" s="46" customFormat="1" x14ac:dyDescent="0.2">
      <c r="A27" s="44"/>
      <c r="B27"/>
      <c r="C27"/>
      <c r="D27"/>
      <c r="K27" s="150"/>
      <c r="L27" s="170"/>
    </row>
  </sheetData>
  <sortState xmlns:xlrd2="http://schemas.microsoft.com/office/spreadsheetml/2017/richdata2" ref="B6:M17">
    <sortCondition ref="J6"/>
  </sortState>
  <phoneticPr fontId="13" type="noConversion"/>
  <printOptions horizontalCentered="1"/>
  <pageMargins left="0.75" right="0.75" top="0.5" bottom="0.5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MAutomated">
                <anchor moveWithCells="1" sizeWithCells="1">
                  <from>
                    <xdr:col>7</xdr:col>
                    <xdr:colOff>238125</xdr:colOff>
                    <xdr:row>1</xdr:row>
                    <xdr:rowOff>57150</xdr:rowOff>
                  </from>
                  <to>
                    <xdr:col>7</xdr:col>
                    <xdr:colOff>1400175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mplete">
                <anchor moveWithCells="1">
                  <from>
                    <xdr:col>7</xdr:col>
                    <xdr:colOff>1657350</xdr:colOff>
                    <xdr:row>1</xdr:row>
                    <xdr:rowOff>66675</xdr:rowOff>
                  </from>
                  <to>
                    <xdr:col>8</xdr:col>
                    <xdr:colOff>390525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lear">
                <anchor moveWithCells="1" sizeWithCells="1">
                  <from>
                    <xdr:col>8</xdr:col>
                    <xdr:colOff>2152650</xdr:colOff>
                    <xdr:row>1</xdr:row>
                    <xdr:rowOff>76200</xdr:rowOff>
                  </from>
                  <to>
                    <xdr:col>8</xdr:col>
                    <xdr:colOff>3152775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finalsummary">
                <anchor moveWithCells="1" sizeWithCells="1">
                  <from>
                    <xdr:col>8</xdr:col>
                    <xdr:colOff>619125</xdr:colOff>
                    <xdr:row>1</xdr:row>
                    <xdr:rowOff>76200</xdr:rowOff>
                  </from>
                  <to>
                    <xdr:col>8</xdr:col>
                    <xdr:colOff>1905000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93EC2-2E23-4481-8DB5-CCCF3FB6DD52}">
  <sheetPr codeName="Sheet6"/>
  <dimension ref="A1:C7"/>
  <sheetViews>
    <sheetView zoomScale="80" zoomScaleNormal="80" workbookViewId="0">
      <selection activeCell="A2" sqref="A2"/>
    </sheetView>
  </sheetViews>
  <sheetFormatPr defaultRowHeight="12.75" x14ac:dyDescent="0.2"/>
  <cols>
    <col min="1" max="1" width="20.28515625" bestFit="1" customWidth="1"/>
    <col min="2" max="2" width="12.85546875" bestFit="1" customWidth="1"/>
    <col min="3" max="3" width="109.5703125" bestFit="1" customWidth="1"/>
  </cols>
  <sheetData>
    <row r="1" spans="1:3" x14ac:dyDescent="0.2">
      <c r="A1" s="193" t="s">
        <v>295</v>
      </c>
      <c r="B1" s="194" t="s">
        <v>289</v>
      </c>
      <c r="C1" s="195" t="s">
        <v>291</v>
      </c>
    </row>
    <row r="2" spans="1:3" ht="191.25" x14ac:dyDescent="0.2">
      <c r="A2" t="s">
        <v>301</v>
      </c>
      <c r="B2">
        <v>9</v>
      </c>
      <c r="C2" s="196" t="s">
        <v>306</v>
      </c>
    </row>
    <row r="3" spans="1:3" ht="102" x14ac:dyDescent="0.2">
      <c r="A3" t="s">
        <v>305</v>
      </c>
      <c r="B3">
        <v>18</v>
      </c>
      <c r="C3" s="31" t="s">
        <v>307</v>
      </c>
    </row>
    <row r="4" spans="1:3" x14ac:dyDescent="0.2">
      <c r="C4" s="31"/>
    </row>
    <row r="5" spans="1:3" x14ac:dyDescent="0.2">
      <c r="C5" s="31"/>
    </row>
    <row r="6" spans="1:3" x14ac:dyDescent="0.2">
      <c r="C6" s="31"/>
    </row>
    <row r="7" spans="1:3" x14ac:dyDescent="0.2">
      <c r="C7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178B3-9EC5-48D9-8754-C1A74BE4003B}">
  <sheetPr codeName="Sheet3"/>
  <dimension ref="A1:Q100"/>
  <sheetViews>
    <sheetView zoomScale="80" zoomScaleNormal="80" workbookViewId="0">
      <pane xSplit="2" ySplit="2" topLeftCell="C29" activePane="bottomRight" state="frozen"/>
      <selection pane="topRight" activeCell="C1" sqref="C1"/>
      <selection pane="bottomLeft" activeCell="A7" sqref="A7"/>
      <selection pane="bottomRight" activeCell="B39" sqref="B39"/>
    </sheetView>
  </sheetViews>
  <sheetFormatPr defaultColWidth="9.140625" defaultRowHeight="14.25" x14ac:dyDescent="0.2"/>
  <cols>
    <col min="1" max="1" width="33.42578125" style="1" bestFit="1" customWidth="1"/>
    <col min="2" max="2" width="86.5703125" style="2" customWidth="1"/>
    <col min="3" max="8" width="13.5703125" style="3" customWidth="1"/>
    <col min="9" max="9" width="20.85546875" style="3" bestFit="1" customWidth="1"/>
    <col min="10" max="10" width="13.5703125" style="3" customWidth="1"/>
    <col min="11" max="11" width="26.28515625" style="3" bestFit="1" customWidth="1"/>
    <col min="12" max="12" width="32.7109375" style="3" bestFit="1" customWidth="1"/>
    <col min="13" max="13" width="56.42578125" style="3" bestFit="1" customWidth="1"/>
    <col min="14" max="14" width="17.28515625" style="89" bestFit="1" customWidth="1"/>
    <col min="15" max="15" width="21" style="3" bestFit="1" customWidth="1"/>
    <col min="16" max="16384" width="9.140625" style="1"/>
  </cols>
  <sheetData>
    <row r="1" spans="1:17" ht="18" x14ac:dyDescent="0.25">
      <c r="A1" s="101"/>
      <c r="B1" s="102"/>
      <c r="C1" s="256" t="s">
        <v>111</v>
      </c>
      <c r="D1" s="256"/>
      <c r="E1" s="256"/>
      <c r="F1" s="256"/>
      <c r="G1" s="256"/>
      <c r="H1" s="256"/>
      <c r="I1" s="256"/>
      <c r="J1" s="256"/>
      <c r="K1" s="103"/>
      <c r="L1" s="103"/>
      <c r="M1" s="103"/>
      <c r="N1" s="104"/>
      <c r="O1" s="103"/>
    </row>
    <row r="2" spans="1:17" ht="15" x14ac:dyDescent="0.25">
      <c r="A2" s="105" t="s">
        <v>105</v>
      </c>
      <c r="B2" s="105" t="s">
        <v>112</v>
      </c>
      <c r="C2" s="106" t="s">
        <v>113</v>
      </c>
      <c r="D2" s="106" t="s">
        <v>114</v>
      </c>
      <c r="E2" s="106" t="s">
        <v>115</v>
      </c>
      <c r="F2" s="106" t="s">
        <v>116</v>
      </c>
      <c r="G2" s="106" t="s">
        <v>117</v>
      </c>
      <c r="H2" s="106" t="s">
        <v>118</v>
      </c>
      <c r="I2" s="106" t="s">
        <v>119</v>
      </c>
      <c r="J2" s="106" t="s">
        <v>120</v>
      </c>
      <c r="K2" s="106" t="s">
        <v>121</v>
      </c>
      <c r="L2" s="106" t="s">
        <v>122</v>
      </c>
      <c r="M2" s="106" t="s">
        <v>108</v>
      </c>
      <c r="N2" s="107" t="s">
        <v>123</v>
      </c>
      <c r="O2" s="106" t="s">
        <v>124</v>
      </c>
    </row>
    <row r="3" spans="1:17" x14ac:dyDescent="0.2">
      <c r="A3" s="108" t="s">
        <v>0</v>
      </c>
      <c r="B3" s="109" t="s">
        <v>7</v>
      </c>
      <c r="C3" s="110"/>
      <c r="D3" s="110"/>
      <c r="E3" s="110">
        <v>0</v>
      </c>
      <c r="F3" s="110">
        <v>24</v>
      </c>
      <c r="G3" s="110">
        <v>8</v>
      </c>
      <c r="H3" s="110">
        <v>8</v>
      </c>
      <c r="I3" s="110">
        <v>0</v>
      </c>
      <c r="J3" s="110">
        <v>0</v>
      </c>
      <c r="K3" s="111">
        <f t="shared" ref="K3:K34" si="0">SUM($E3:$J3)</f>
        <v>40</v>
      </c>
      <c r="L3" s="111">
        <f>ROUNDUP(K3/0.85,0)</f>
        <v>48</v>
      </c>
      <c r="M3" s="110" t="s">
        <v>180</v>
      </c>
      <c r="N3" s="112" t="s">
        <v>128</v>
      </c>
      <c r="O3" s="111" t="str">
        <f>IF(M3&lt;&gt;"",VLOOKUP(M3,Table1[[Menu Item]:[Complex]],MATCH(N3,'Points Category'!$C$2:$F$2,0)+1,0),"0")</f>
        <v>Pending</v>
      </c>
    </row>
    <row r="4" spans="1:17" x14ac:dyDescent="0.2">
      <c r="A4" s="108" t="s">
        <v>0</v>
      </c>
      <c r="B4" s="109" t="s">
        <v>17</v>
      </c>
      <c r="C4" s="110"/>
      <c r="D4" s="110"/>
      <c r="E4" s="110">
        <v>0</v>
      </c>
      <c r="F4" s="113">
        <v>0</v>
      </c>
      <c r="G4" s="113">
        <v>0</v>
      </c>
      <c r="H4" s="113">
        <v>0</v>
      </c>
      <c r="I4" s="110">
        <v>0</v>
      </c>
      <c r="J4" s="110">
        <v>0</v>
      </c>
      <c r="K4" s="111">
        <f t="shared" si="0"/>
        <v>0</v>
      </c>
      <c r="L4" s="111">
        <f t="shared" ref="L4:L67" si="1">ROUNDUP(K4/0.85,0)</f>
        <v>0</v>
      </c>
      <c r="M4" s="110" t="s">
        <v>182</v>
      </c>
      <c r="N4" s="112" t="s">
        <v>128</v>
      </c>
      <c r="O4" s="111" t="str">
        <f>IF(M4&lt;&gt;"",VLOOKUP(M4,Table1[[Menu Item]:[Complex]],MATCH(N4,'Points Category'!$C$2:$F$2,0)+1,0),"")</f>
        <v>Pending</v>
      </c>
    </row>
    <row r="5" spans="1:17" x14ac:dyDescent="0.2">
      <c r="A5" s="114" t="s">
        <v>167</v>
      </c>
      <c r="B5" s="115" t="s">
        <v>8</v>
      </c>
      <c r="C5" s="110"/>
      <c r="D5" s="110"/>
      <c r="E5" s="110">
        <v>0</v>
      </c>
      <c r="F5" s="110">
        <v>0</v>
      </c>
      <c r="G5" s="110">
        <v>0</v>
      </c>
      <c r="H5" s="110">
        <v>0</v>
      </c>
      <c r="I5" s="110">
        <v>0</v>
      </c>
      <c r="J5" s="110">
        <v>0</v>
      </c>
      <c r="K5" s="111">
        <f t="shared" si="0"/>
        <v>0</v>
      </c>
      <c r="L5" s="111">
        <f t="shared" si="1"/>
        <v>0</v>
      </c>
      <c r="M5" s="110" t="s">
        <v>168</v>
      </c>
      <c r="N5" s="112" t="s">
        <v>128</v>
      </c>
      <c r="O5" s="111">
        <f>IF(M5&lt;&gt;"",VLOOKUP(M5,Table1[[Menu Item]:[Complex]],MATCH(N5,'Points Category'!$C$2:$F$2,0)+1,0),"")</f>
        <v>16</v>
      </c>
      <c r="Q5" s="1" t="e">
        <f>MATCH(N5,Complexity)</f>
        <v>#N/A</v>
      </c>
    </row>
    <row r="6" spans="1:17" x14ac:dyDescent="0.2">
      <c r="A6" s="114" t="s">
        <v>167</v>
      </c>
      <c r="B6" s="116" t="s">
        <v>169</v>
      </c>
      <c r="C6" s="110"/>
      <c r="D6" s="110"/>
      <c r="E6" s="110">
        <v>0</v>
      </c>
      <c r="F6" s="110">
        <v>1</v>
      </c>
      <c r="G6" s="110">
        <v>1</v>
      </c>
      <c r="H6" s="110">
        <v>0</v>
      </c>
      <c r="I6" s="110">
        <v>0</v>
      </c>
      <c r="J6" s="110">
        <v>0</v>
      </c>
      <c r="K6" s="111">
        <f t="shared" si="0"/>
        <v>2</v>
      </c>
      <c r="L6" s="111">
        <f t="shared" si="1"/>
        <v>3</v>
      </c>
      <c r="M6" s="110" t="s">
        <v>170</v>
      </c>
      <c r="N6" s="112" t="s">
        <v>126</v>
      </c>
      <c r="O6" s="111">
        <v>0</v>
      </c>
      <c r="Q6" s="1">
        <f>MATCH(N6,Complexity)</f>
        <v>1</v>
      </c>
    </row>
    <row r="7" spans="1:17" x14ac:dyDescent="0.2">
      <c r="A7" s="108" t="s">
        <v>112</v>
      </c>
      <c r="B7" s="109" t="s">
        <v>9</v>
      </c>
      <c r="C7" s="110">
        <v>0.25</v>
      </c>
      <c r="D7" s="110">
        <v>0.5</v>
      </c>
      <c r="E7" s="110">
        <v>0</v>
      </c>
      <c r="F7" s="110">
        <v>1</v>
      </c>
      <c r="G7" s="110">
        <v>1</v>
      </c>
      <c r="H7" s="110">
        <v>1</v>
      </c>
      <c r="I7" s="110">
        <v>0</v>
      </c>
      <c r="J7" s="110">
        <v>0</v>
      </c>
      <c r="K7" s="111">
        <f t="shared" si="0"/>
        <v>3</v>
      </c>
      <c r="L7" s="111">
        <f t="shared" si="1"/>
        <v>4</v>
      </c>
      <c r="M7" s="111" t="s">
        <v>125</v>
      </c>
      <c r="N7" s="117" t="s">
        <v>126</v>
      </c>
      <c r="O7" s="111">
        <f>IF(M7&lt;&gt;"",VLOOKUP(M7,Table1[[Menu Item]:[Complex]],MATCH(N7,'Points Category'!$C$2:$F$2,0)+1,0),"")</f>
        <v>1</v>
      </c>
      <c r="Q7" s="1" t="e">
        <f>MATCH(N7,#REF!,0)</f>
        <v>#REF!</v>
      </c>
    </row>
    <row r="8" spans="1:17" x14ac:dyDescent="0.2">
      <c r="A8" s="108" t="s">
        <v>112</v>
      </c>
      <c r="B8" s="109" t="s">
        <v>18</v>
      </c>
      <c r="C8" s="110">
        <v>0.25</v>
      </c>
      <c r="D8" s="110">
        <v>0.5</v>
      </c>
      <c r="E8" s="110">
        <v>0</v>
      </c>
      <c r="F8" s="110">
        <v>1.5</v>
      </c>
      <c r="G8" s="110">
        <v>1.5</v>
      </c>
      <c r="H8" s="110">
        <v>1</v>
      </c>
      <c r="I8" s="110">
        <v>0</v>
      </c>
      <c r="J8" s="110">
        <v>0</v>
      </c>
      <c r="K8" s="111">
        <f t="shared" si="0"/>
        <v>4</v>
      </c>
      <c r="L8" s="111">
        <f t="shared" si="1"/>
        <v>5</v>
      </c>
      <c r="M8" s="111" t="s">
        <v>125</v>
      </c>
      <c r="N8" s="117" t="s">
        <v>127</v>
      </c>
      <c r="O8" s="111">
        <f>IF(M8&lt;&gt;"",VLOOKUP(M8,Table1[[Menu Item]:[Complex]],MATCH(N8,'Points Category'!$C$2:$F$2,0)+1,0),"")</f>
        <v>2</v>
      </c>
    </row>
    <row r="9" spans="1:17" x14ac:dyDescent="0.2">
      <c r="A9" s="108" t="s">
        <v>112</v>
      </c>
      <c r="B9" s="109" t="s">
        <v>25</v>
      </c>
      <c r="C9" s="110">
        <v>0.25</v>
      </c>
      <c r="D9" s="110">
        <v>0.75</v>
      </c>
      <c r="E9" s="110">
        <v>0</v>
      </c>
      <c r="F9" s="110">
        <v>1.5</v>
      </c>
      <c r="G9" s="110">
        <v>1.5</v>
      </c>
      <c r="H9" s="110">
        <v>1</v>
      </c>
      <c r="I9" s="110">
        <v>0</v>
      </c>
      <c r="J9" s="110">
        <v>0</v>
      </c>
      <c r="K9" s="111">
        <f t="shared" si="0"/>
        <v>4</v>
      </c>
      <c r="L9" s="111">
        <f t="shared" si="1"/>
        <v>5</v>
      </c>
      <c r="M9" s="111" t="s">
        <v>125</v>
      </c>
      <c r="N9" s="117" t="s">
        <v>126</v>
      </c>
      <c r="O9" s="111">
        <f>IF(M9&lt;&gt;"",VLOOKUP(M9,Table1[[Menu Item]:[Complex]],MATCH(N9,'Points Category'!$C$2:$F$2,0)+1,0),"")</f>
        <v>1</v>
      </c>
    </row>
    <row r="10" spans="1:17" x14ac:dyDescent="0.2">
      <c r="A10" s="108" t="s">
        <v>112</v>
      </c>
      <c r="B10" s="118" t="s">
        <v>32</v>
      </c>
      <c r="C10" s="110">
        <v>0.25</v>
      </c>
      <c r="D10" s="110">
        <v>0.75</v>
      </c>
      <c r="E10" s="110">
        <v>0</v>
      </c>
      <c r="F10" s="110">
        <v>3</v>
      </c>
      <c r="G10" s="110">
        <v>2</v>
      </c>
      <c r="H10" s="110">
        <v>1</v>
      </c>
      <c r="I10" s="110">
        <v>0</v>
      </c>
      <c r="J10" s="110">
        <v>0</v>
      </c>
      <c r="K10" s="111">
        <f t="shared" si="0"/>
        <v>6</v>
      </c>
      <c r="L10" s="111">
        <f t="shared" si="1"/>
        <v>8</v>
      </c>
      <c r="M10" s="111" t="s">
        <v>125</v>
      </c>
      <c r="N10" s="117" t="s">
        <v>127</v>
      </c>
      <c r="O10" s="111">
        <f>IF(M10&lt;&gt;"",VLOOKUP(M10,Table1[[Menu Item]:[Complex]],MATCH(N10,'Points Category'!$C$2:$F$2,0)+1,0),"")</f>
        <v>2</v>
      </c>
    </row>
    <row r="11" spans="1:17" x14ac:dyDescent="0.2">
      <c r="A11" s="108" t="s">
        <v>112</v>
      </c>
      <c r="B11" s="109" t="s">
        <v>39</v>
      </c>
      <c r="C11" s="110">
        <v>0.5</v>
      </c>
      <c r="D11" s="110">
        <v>1</v>
      </c>
      <c r="E11" s="110">
        <v>1</v>
      </c>
      <c r="F11" s="110">
        <v>4</v>
      </c>
      <c r="G11" s="110">
        <v>2</v>
      </c>
      <c r="H11" s="110">
        <v>2</v>
      </c>
      <c r="I11" s="110">
        <v>0</v>
      </c>
      <c r="J11" s="110">
        <v>0</v>
      </c>
      <c r="K11" s="111">
        <f t="shared" si="0"/>
        <v>9</v>
      </c>
      <c r="L11" s="111">
        <f t="shared" si="1"/>
        <v>11</v>
      </c>
      <c r="M11" s="111" t="s">
        <v>125</v>
      </c>
      <c r="N11" s="117" t="s">
        <v>128</v>
      </c>
      <c r="O11" s="111">
        <f>IF(M11&lt;&gt;"",VLOOKUP(M11,Table1[[Menu Item]:[Complex]],MATCH(N11,'Points Category'!$C$2:$F$2,0)+1,0),"")</f>
        <v>3</v>
      </c>
    </row>
    <row r="12" spans="1:17" x14ac:dyDescent="0.2">
      <c r="A12" s="108" t="s">
        <v>112</v>
      </c>
      <c r="B12" s="109" t="s">
        <v>46</v>
      </c>
      <c r="C12" s="110">
        <v>0.5</v>
      </c>
      <c r="D12" s="110">
        <v>1</v>
      </c>
      <c r="E12" s="110">
        <v>1</v>
      </c>
      <c r="F12" s="110">
        <v>4</v>
      </c>
      <c r="G12" s="110">
        <v>2</v>
      </c>
      <c r="H12" s="110">
        <v>2</v>
      </c>
      <c r="I12" s="110">
        <v>0</v>
      </c>
      <c r="J12" s="110">
        <v>0</v>
      </c>
      <c r="K12" s="111">
        <f t="shared" si="0"/>
        <v>9</v>
      </c>
      <c r="L12" s="111">
        <f t="shared" si="1"/>
        <v>11</v>
      </c>
      <c r="M12" s="111" t="s">
        <v>125</v>
      </c>
      <c r="N12" s="117" t="s">
        <v>127</v>
      </c>
      <c r="O12" s="111">
        <f>IF(M12&lt;&gt;"",VLOOKUP(M12,Table1[[Menu Item]:[Complex]],MATCH(N12,'Points Category'!$C$2:$F$2,0)+1,0),"")</f>
        <v>2</v>
      </c>
    </row>
    <row r="13" spans="1:17" x14ac:dyDescent="0.2">
      <c r="A13" s="108" t="s">
        <v>112</v>
      </c>
      <c r="B13" s="119" t="s">
        <v>50</v>
      </c>
      <c r="C13" s="110">
        <v>0.25</v>
      </c>
      <c r="D13" s="110">
        <v>0.5</v>
      </c>
      <c r="E13" s="110">
        <v>0</v>
      </c>
      <c r="F13" s="110">
        <v>2</v>
      </c>
      <c r="G13" s="110">
        <v>2</v>
      </c>
      <c r="H13" s="110">
        <v>2</v>
      </c>
      <c r="I13" s="110">
        <v>0</v>
      </c>
      <c r="J13" s="110">
        <v>0</v>
      </c>
      <c r="K13" s="111">
        <f t="shared" si="0"/>
        <v>6</v>
      </c>
      <c r="L13" s="111">
        <f t="shared" si="1"/>
        <v>8</v>
      </c>
      <c r="M13" s="111" t="s">
        <v>129</v>
      </c>
      <c r="N13" s="117" t="s">
        <v>126</v>
      </c>
      <c r="O13" s="111">
        <f>IF(M13&lt;&gt;"",VLOOKUP(M13,Table1[[Menu Item]:[Complex]],MATCH(N13,'Points Category'!$C$2:$F$2,0)+1,0),"")</f>
        <v>2</v>
      </c>
    </row>
    <row r="14" spans="1:17" x14ac:dyDescent="0.2">
      <c r="A14" s="108" t="s">
        <v>112</v>
      </c>
      <c r="B14" s="109" t="s">
        <v>54</v>
      </c>
      <c r="C14" s="110">
        <v>0.25</v>
      </c>
      <c r="D14" s="110">
        <v>0.5</v>
      </c>
      <c r="E14" s="110">
        <v>0</v>
      </c>
      <c r="F14" s="110">
        <v>2</v>
      </c>
      <c r="G14" s="110">
        <v>2</v>
      </c>
      <c r="H14" s="110">
        <v>2</v>
      </c>
      <c r="I14" s="110">
        <v>0</v>
      </c>
      <c r="J14" s="110">
        <v>0</v>
      </c>
      <c r="K14" s="111">
        <f t="shared" si="0"/>
        <v>6</v>
      </c>
      <c r="L14" s="111">
        <f t="shared" si="1"/>
        <v>8</v>
      </c>
      <c r="M14" s="111" t="s">
        <v>129</v>
      </c>
      <c r="N14" s="117" t="s">
        <v>126</v>
      </c>
      <c r="O14" s="111">
        <f>IF(M14&lt;&gt;"",VLOOKUP(M14,Table1[[Menu Item]:[Complex]],MATCH(N14,'Points Category'!$C$2:$F$2,0)+1,0),"")</f>
        <v>2</v>
      </c>
    </row>
    <row r="15" spans="1:17" x14ac:dyDescent="0.2">
      <c r="A15" s="108" t="s">
        <v>112</v>
      </c>
      <c r="B15" s="109" t="s">
        <v>57</v>
      </c>
      <c r="C15" s="110">
        <v>0.5</v>
      </c>
      <c r="D15" s="110">
        <v>1</v>
      </c>
      <c r="E15" s="110">
        <v>1</v>
      </c>
      <c r="F15" s="110">
        <v>3</v>
      </c>
      <c r="G15" s="110">
        <v>3</v>
      </c>
      <c r="H15" s="110">
        <v>2</v>
      </c>
      <c r="I15" s="110">
        <v>0</v>
      </c>
      <c r="J15" s="110">
        <v>0</v>
      </c>
      <c r="K15" s="111">
        <f t="shared" si="0"/>
        <v>9</v>
      </c>
      <c r="L15" s="111">
        <f t="shared" si="1"/>
        <v>11</v>
      </c>
      <c r="M15" s="111" t="s">
        <v>129</v>
      </c>
      <c r="N15" s="117" t="s">
        <v>127</v>
      </c>
      <c r="O15" s="111">
        <f>IF(M15&lt;&gt;"",VLOOKUP(M15,Table1[[Menu Item]:[Complex]],MATCH(N15,'Points Category'!$C$2:$F$2,0)+1,0),"")</f>
        <v>3</v>
      </c>
    </row>
    <row r="16" spans="1:17" x14ac:dyDescent="0.2">
      <c r="A16" s="108" t="s">
        <v>112</v>
      </c>
      <c r="B16" s="109" t="s">
        <v>60</v>
      </c>
      <c r="C16" s="110">
        <v>1</v>
      </c>
      <c r="D16" s="110">
        <v>2</v>
      </c>
      <c r="E16" s="110">
        <v>1</v>
      </c>
      <c r="F16" s="110">
        <v>2</v>
      </c>
      <c r="G16" s="110">
        <v>4</v>
      </c>
      <c r="H16" s="110">
        <v>4</v>
      </c>
      <c r="I16" s="110">
        <v>0</v>
      </c>
      <c r="J16" s="110">
        <v>0</v>
      </c>
      <c r="K16" s="111">
        <f t="shared" si="0"/>
        <v>11</v>
      </c>
      <c r="L16" s="111">
        <f t="shared" si="1"/>
        <v>13</v>
      </c>
      <c r="M16" s="111" t="s">
        <v>129</v>
      </c>
      <c r="N16" s="117" t="s">
        <v>128</v>
      </c>
      <c r="O16" s="111">
        <f>IF(M16&lt;&gt;"",VLOOKUP(M16,Table1[[Menu Item]:[Complex]],MATCH(N16,'Points Category'!$C$2:$F$2,0)+1,0),"")</f>
        <v>4</v>
      </c>
    </row>
    <row r="17" spans="1:15" x14ac:dyDescent="0.2">
      <c r="A17" s="108" t="s">
        <v>112</v>
      </c>
      <c r="B17" s="109" t="s">
        <v>63</v>
      </c>
      <c r="C17" s="110">
        <v>0</v>
      </c>
      <c r="D17" s="110">
        <v>0.5</v>
      </c>
      <c r="E17" s="110">
        <v>0</v>
      </c>
      <c r="F17" s="110">
        <v>0</v>
      </c>
      <c r="G17" s="110">
        <v>3</v>
      </c>
      <c r="H17" s="110">
        <v>1</v>
      </c>
      <c r="I17" s="110">
        <v>0</v>
      </c>
      <c r="J17" s="110">
        <v>0</v>
      </c>
      <c r="K17" s="111">
        <f t="shared" si="0"/>
        <v>4</v>
      </c>
      <c r="L17" s="111">
        <f t="shared" si="1"/>
        <v>5</v>
      </c>
      <c r="M17" s="111" t="s">
        <v>125</v>
      </c>
      <c r="N17" s="117" t="s">
        <v>126</v>
      </c>
      <c r="O17" s="111">
        <f>IF(M17&lt;&gt;"",VLOOKUP(M17,Table1[[Menu Item]:[Complex]],MATCH(N17,'Points Category'!$C$2:$F$2,0)+1,0),"")</f>
        <v>1</v>
      </c>
    </row>
    <row r="18" spans="1:15" x14ac:dyDescent="0.2">
      <c r="A18" s="108" t="s">
        <v>112</v>
      </c>
      <c r="B18" s="109" t="s">
        <v>65</v>
      </c>
      <c r="C18" s="110">
        <v>0</v>
      </c>
      <c r="D18" s="110">
        <v>0.5</v>
      </c>
      <c r="E18" s="110">
        <v>0</v>
      </c>
      <c r="F18" s="110">
        <v>1</v>
      </c>
      <c r="G18" s="110">
        <v>3</v>
      </c>
      <c r="H18" s="110">
        <v>1</v>
      </c>
      <c r="I18" s="110">
        <v>0</v>
      </c>
      <c r="J18" s="110">
        <v>0</v>
      </c>
      <c r="K18" s="111">
        <f t="shared" si="0"/>
        <v>5</v>
      </c>
      <c r="L18" s="111">
        <f t="shared" si="1"/>
        <v>6</v>
      </c>
      <c r="M18" s="111" t="s">
        <v>125</v>
      </c>
      <c r="N18" s="117" t="s">
        <v>126</v>
      </c>
      <c r="O18" s="111">
        <f>IF(M18&lt;&gt;"",VLOOKUP(M18,Table1[[Menu Item]:[Complex]],MATCH(N18,'Points Category'!$C$2:$F$2,0)+1,0),"")</f>
        <v>1</v>
      </c>
    </row>
    <row r="19" spans="1:15" x14ac:dyDescent="0.2">
      <c r="A19" s="108" t="s">
        <v>112</v>
      </c>
      <c r="B19" s="109" t="s">
        <v>67</v>
      </c>
      <c r="C19" s="110">
        <v>1</v>
      </c>
      <c r="D19" s="110">
        <v>1</v>
      </c>
      <c r="E19" s="110">
        <v>0</v>
      </c>
      <c r="F19" s="110">
        <v>2</v>
      </c>
      <c r="G19" s="110">
        <v>1</v>
      </c>
      <c r="H19" s="110">
        <v>2</v>
      </c>
      <c r="I19" s="110">
        <v>0</v>
      </c>
      <c r="J19" s="110">
        <v>0</v>
      </c>
      <c r="K19" s="111">
        <f t="shared" si="0"/>
        <v>5</v>
      </c>
      <c r="L19" s="111">
        <f t="shared" si="1"/>
        <v>6</v>
      </c>
      <c r="M19" s="111" t="s">
        <v>67</v>
      </c>
      <c r="N19" s="117" t="s">
        <v>126</v>
      </c>
      <c r="O19" s="111">
        <f>IF(M19&lt;&gt;"",VLOOKUP(M19,Table1[[Menu Item]:[Complex]],MATCH(N19,'Points Category'!$C$2:$F$2,0)+1,0),"")</f>
        <v>4</v>
      </c>
    </row>
    <row r="20" spans="1:15" x14ac:dyDescent="0.2">
      <c r="A20" s="108" t="s">
        <v>112</v>
      </c>
      <c r="B20" s="109" t="s">
        <v>69</v>
      </c>
      <c r="C20" s="110">
        <v>1</v>
      </c>
      <c r="D20" s="110">
        <v>1</v>
      </c>
      <c r="E20" s="110">
        <v>1</v>
      </c>
      <c r="F20" s="110">
        <v>6</v>
      </c>
      <c r="G20" s="110">
        <v>3</v>
      </c>
      <c r="H20" s="110">
        <v>3</v>
      </c>
      <c r="I20" s="110">
        <v>0</v>
      </c>
      <c r="J20" s="110">
        <v>0</v>
      </c>
      <c r="K20" s="111">
        <f t="shared" si="0"/>
        <v>13</v>
      </c>
      <c r="L20" s="111">
        <f t="shared" si="1"/>
        <v>16</v>
      </c>
      <c r="M20" s="111" t="s">
        <v>130</v>
      </c>
      <c r="N20" s="117" t="s">
        <v>126</v>
      </c>
      <c r="O20" s="111">
        <f>IF(M20&lt;&gt;"",VLOOKUP(M20,Table1[[Menu Item]:[Complex]],MATCH(N20,'Points Category'!$C$2:$F$2,0)+1,0),"")</f>
        <v>4</v>
      </c>
    </row>
    <row r="21" spans="1:15" x14ac:dyDescent="0.2">
      <c r="A21" s="108" t="s">
        <v>112</v>
      </c>
      <c r="B21" s="120" t="s">
        <v>71</v>
      </c>
      <c r="C21" s="110">
        <v>0.25</v>
      </c>
      <c r="D21" s="110">
        <v>0.75</v>
      </c>
      <c r="E21" s="110">
        <v>1</v>
      </c>
      <c r="F21" s="110">
        <v>10</v>
      </c>
      <c r="G21" s="110">
        <v>2</v>
      </c>
      <c r="H21" s="110">
        <v>4</v>
      </c>
      <c r="I21" s="110">
        <v>0</v>
      </c>
      <c r="J21" s="110">
        <v>0</v>
      </c>
      <c r="K21" s="111">
        <f t="shared" si="0"/>
        <v>17</v>
      </c>
      <c r="L21" s="111">
        <f t="shared" si="1"/>
        <v>20</v>
      </c>
      <c r="M21" s="111" t="s">
        <v>125</v>
      </c>
      <c r="N21" s="117" t="s">
        <v>128</v>
      </c>
      <c r="O21" s="111">
        <f>IF(M21&lt;&gt;"",VLOOKUP(M21,Table1[[Menu Item]:[Complex]],MATCH(N21,'Points Category'!$C$2:$F$2,0)+1,0),"")</f>
        <v>3</v>
      </c>
    </row>
    <row r="22" spans="1:15" ht="28.5" x14ac:dyDescent="0.2">
      <c r="A22" s="108" t="s">
        <v>112</v>
      </c>
      <c r="B22" s="109" t="s">
        <v>73</v>
      </c>
      <c r="C22" s="110">
        <v>0.25</v>
      </c>
      <c r="D22" s="110">
        <v>0.75</v>
      </c>
      <c r="E22" s="110">
        <v>1</v>
      </c>
      <c r="F22" s="110">
        <v>8</v>
      </c>
      <c r="G22" s="110">
        <v>2</v>
      </c>
      <c r="H22" s="110">
        <v>4</v>
      </c>
      <c r="I22" s="110">
        <v>0</v>
      </c>
      <c r="J22" s="110">
        <v>0</v>
      </c>
      <c r="K22" s="111">
        <f t="shared" si="0"/>
        <v>15</v>
      </c>
      <c r="L22" s="111">
        <f t="shared" si="1"/>
        <v>18</v>
      </c>
      <c r="M22" s="111" t="s">
        <v>129</v>
      </c>
      <c r="N22" s="117" t="s">
        <v>128</v>
      </c>
      <c r="O22" s="111">
        <f>IF(M22&lt;&gt;"",VLOOKUP(M22,Table1[[Menu Item]:[Complex]],MATCH(N22,'Points Category'!$C$2:$F$2,0)+1,0),"")</f>
        <v>4</v>
      </c>
    </row>
    <row r="23" spans="1:15" x14ac:dyDescent="0.2">
      <c r="A23" s="108" t="s">
        <v>112</v>
      </c>
      <c r="B23" s="120" t="s">
        <v>75</v>
      </c>
      <c r="C23" s="110">
        <v>1</v>
      </c>
      <c r="D23" s="110">
        <v>2</v>
      </c>
      <c r="E23" s="110">
        <v>4</v>
      </c>
      <c r="F23" s="110">
        <v>12</v>
      </c>
      <c r="G23" s="110">
        <v>2</v>
      </c>
      <c r="H23" s="110">
        <v>6</v>
      </c>
      <c r="I23" s="110">
        <v>0</v>
      </c>
      <c r="J23" s="110">
        <v>0</v>
      </c>
      <c r="K23" s="111">
        <f t="shared" si="0"/>
        <v>24</v>
      </c>
      <c r="L23" s="111">
        <f t="shared" si="1"/>
        <v>29</v>
      </c>
      <c r="M23" s="111" t="s">
        <v>131</v>
      </c>
      <c r="N23" s="117" t="s">
        <v>128</v>
      </c>
      <c r="O23" s="111">
        <f>IF(M23&lt;&gt;"",VLOOKUP(M23,Table1[[Menu Item]:[Complex]],MATCH(N23,'Points Category'!$C$2:$F$2,0)+1,0),"")</f>
        <v>8</v>
      </c>
    </row>
    <row r="24" spans="1:15" x14ac:dyDescent="0.2">
      <c r="A24" s="108" t="s">
        <v>112</v>
      </c>
      <c r="B24" s="121" t="s">
        <v>132</v>
      </c>
      <c r="C24" s="110">
        <v>0.5</v>
      </c>
      <c r="D24" s="110">
        <v>1</v>
      </c>
      <c r="E24" s="110">
        <v>2</v>
      </c>
      <c r="F24" s="110">
        <v>3</v>
      </c>
      <c r="G24" s="110">
        <v>1</v>
      </c>
      <c r="H24" s="110">
        <v>4</v>
      </c>
      <c r="I24" s="110">
        <v>0</v>
      </c>
      <c r="J24" s="110">
        <v>0</v>
      </c>
      <c r="K24" s="111">
        <f t="shared" si="0"/>
        <v>10</v>
      </c>
      <c r="L24" s="111">
        <f t="shared" si="1"/>
        <v>12</v>
      </c>
      <c r="M24" s="111"/>
      <c r="N24" s="117"/>
      <c r="O24" s="111" t="str">
        <f>IF(M24&lt;&gt;"",VLOOKUP(M24,Table1[[Menu Item]:[Complex]],MATCH(N24,'Points Category'!$C$2:$F$2,0)+1,0),"")</f>
        <v/>
      </c>
    </row>
    <row r="25" spans="1:15" x14ac:dyDescent="0.2">
      <c r="A25" s="108" t="s">
        <v>112</v>
      </c>
      <c r="B25" s="118" t="s">
        <v>78</v>
      </c>
      <c r="C25" s="110">
        <v>0.5</v>
      </c>
      <c r="D25" s="110">
        <v>0.5</v>
      </c>
      <c r="E25" s="110">
        <v>0</v>
      </c>
      <c r="F25" s="110">
        <v>1</v>
      </c>
      <c r="G25" s="110">
        <v>0.5</v>
      </c>
      <c r="H25" s="110">
        <v>0.5</v>
      </c>
      <c r="I25" s="110">
        <v>0</v>
      </c>
      <c r="J25" s="110">
        <v>0</v>
      </c>
      <c r="K25" s="111">
        <f t="shared" si="0"/>
        <v>2</v>
      </c>
      <c r="L25" s="111">
        <f t="shared" si="1"/>
        <v>3</v>
      </c>
      <c r="M25" s="111" t="s">
        <v>133</v>
      </c>
      <c r="N25" s="117" t="s">
        <v>126</v>
      </c>
      <c r="O25" s="111">
        <v>0</v>
      </c>
    </row>
    <row r="26" spans="1:15" x14ac:dyDescent="0.2">
      <c r="A26" s="114" t="s">
        <v>112</v>
      </c>
      <c r="B26" s="122" t="s">
        <v>146</v>
      </c>
      <c r="C26" s="110">
        <v>1</v>
      </c>
      <c r="D26" s="110">
        <v>3</v>
      </c>
      <c r="E26" s="110"/>
      <c r="F26" s="110"/>
      <c r="G26" s="110"/>
      <c r="H26" s="110"/>
      <c r="I26" s="110"/>
      <c r="J26" s="110"/>
      <c r="K26" s="111">
        <f t="shared" si="0"/>
        <v>0</v>
      </c>
      <c r="L26" s="111">
        <f t="shared" si="1"/>
        <v>0</v>
      </c>
      <c r="M26" s="111" t="s">
        <v>147</v>
      </c>
      <c r="N26" s="117" t="s">
        <v>126</v>
      </c>
      <c r="O26" s="111">
        <f>IF(M26&lt;&gt;"",VLOOKUP(M26,Table1[[Menu Item]:[Complex]],MATCH(N26,'Points Category'!$C$2:$F$2,0)+1,0),"")</f>
        <v>4</v>
      </c>
    </row>
    <row r="27" spans="1:15" x14ac:dyDescent="0.2">
      <c r="A27" s="114" t="s">
        <v>112</v>
      </c>
      <c r="B27" s="123" t="s">
        <v>148</v>
      </c>
      <c r="C27" s="110">
        <v>2</v>
      </c>
      <c r="D27" s="110">
        <v>5</v>
      </c>
      <c r="E27" s="110">
        <v>6</v>
      </c>
      <c r="F27" s="110">
        <v>50</v>
      </c>
      <c r="G27" s="110">
        <v>8</v>
      </c>
      <c r="H27" s="110">
        <v>40</v>
      </c>
      <c r="I27" s="110">
        <v>0</v>
      </c>
      <c r="J27" s="110">
        <v>0</v>
      </c>
      <c r="K27" s="111">
        <f t="shared" si="0"/>
        <v>104</v>
      </c>
      <c r="L27" s="111">
        <f t="shared" si="1"/>
        <v>123</v>
      </c>
      <c r="M27" s="111" t="s">
        <v>147</v>
      </c>
      <c r="N27" s="117" t="s">
        <v>127</v>
      </c>
      <c r="O27" s="111">
        <f>IF(M27&lt;&gt;"",VLOOKUP(M27,Table1[[Menu Item]:[Complex]],MATCH(N27,'Points Category'!$C$2:$F$2,0)+1,0),"")</f>
        <v>8</v>
      </c>
    </row>
    <row r="28" spans="1:15" ht="28.5" x14ac:dyDescent="0.2">
      <c r="A28" s="114" t="s">
        <v>112</v>
      </c>
      <c r="B28" s="123" t="s">
        <v>149</v>
      </c>
      <c r="C28" s="110">
        <v>3</v>
      </c>
      <c r="D28" s="110">
        <v>8</v>
      </c>
      <c r="E28" s="110">
        <v>10</v>
      </c>
      <c r="F28" s="110">
        <v>75</v>
      </c>
      <c r="G28" s="110">
        <v>12</v>
      </c>
      <c r="H28" s="110">
        <v>60</v>
      </c>
      <c r="I28" s="110">
        <v>0</v>
      </c>
      <c r="J28" s="110">
        <v>0</v>
      </c>
      <c r="K28" s="111">
        <f t="shared" si="0"/>
        <v>157</v>
      </c>
      <c r="L28" s="111">
        <f t="shared" si="1"/>
        <v>185</v>
      </c>
      <c r="M28" s="111" t="s">
        <v>147</v>
      </c>
      <c r="N28" s="117" t="s">
        <v>128</v>
      </c>
      <c r="O28" s="111">
        <f>IF(M28&lt;&gt;"",VLOOKUP(M28,Table1[[Menu Item]:[Complex]],MATCH(N28,'Points Category'!$C$2:$F$2,0)+1,0),"")</f>
        <v>15</v>
      </c>
    </row>
    <row r="29" spans="1:15" x14ac:dyDescent="0.2">
      <c r="A29" s="108" t="s">
        <v>138</v>
      </c>
      <c r="B29" s="109" t="s">
        <v>11</v>
      </c>
      <c r="C29" s="110">
        <v>1</v>
      </c>
      <c r="D29" s="110">
        <v>0</v>
      </c>
      <c r="E29" s="110">
        <v>0</v>
      </c>
      <c r="F29" s="113">
        <v>0</v>
      </c>
      <c r="G29" s="113">
        <v>0</v>
      </c>
      <c r="H29" s="113">
        <v>0</v>
      </c>
      <c r="I29" s="110">
        <v>0</v>
      </c>
      <c r="J29" s="110">
        <v>0</v>
      </c>
      <c r="K29" s="111">
        <f t="shared" si="0"/>
        <v>0</v>
      </c>
      <c r="L29" s="111">
        <f t="shared" si="1"/>
        <v>0</v>
      </c>
      <c r="M29" s="111" t="s">
        <v>139</v>
      </c>
      <c r="N29" s="117" t="s">
        <v>126</v>
      </c>
      <c r="O29" s="111">
        <f>IF(M29&lt;&gt;"",VLOOKUP(M29,Table1[[Menu Item]:[Complex]],MATCH(N29,'Points Category'!$C$2:$F$2,0)+1,0),"")</f>
        <v>3</v>
      </c>
    </row>
    <row r="30" spans="1:15" x14ac:dyDescent="0.2">
      <c r="A30" s="108" t="s">
        <v>138</v>
      </c>
      <c r="B30" s="109" t="s">
        <v>20</v>
      </c>
      <c r="C30" s="110">
        <v>0.25</v>
      </c>
      <c r="D30" s="110">
        <v>0.5</v>
      </c>
      <c r="E30" s="110">
        <v>0</v>
      </c>
      <c r="F30" s="110">
        <v>1</v>
      </c>
      <c r="G30" s="110">
        <v>1</v>
      </c>
      <c r="H30" s="110">
        <v>1</v>
      </c>
      <c r="I30" s="110">
        <v>0</v>
      </c>
      <c r="J30" s="110">
        <v>0</v>
      </c>
      <c r="K30" s="111">
        <f t="shared" si="0"/>
        <v>3</v>
      </c>
      <c r="L30" s="111">
        <f t="shared" si="1"/>
        <v>4</v>
      </c>
      <c r="M30" s="111" t="s">
        <v>139</v>
      </c>
      <c r="N30" s="117" t="s">
        <v>127</v>
      </c>
      <c r="O30" s="111">
        <f>IF(M30&lt;&gt;"",VLOOKUP(M30,Table1[[Menu Item]:[Complex]],MATCH(N30,'Points Category'!$C$2:$F$2,0)+1,0),"")</f>
        <v>5</v>
      </c>
    </row>
    <row r="31" spans="1:15" ht="28.5" x14ac:dyDescent="0.2">
      <c r="A31" s="108" t="s">
        <v>138</v>
      </c>
      <c r="B31" s="109" t="s">
        <v>27</v>
      </c>
      <c r="C31" s="110">
        <v>1</v>
      </c>
      <c r="D31" s="110">
        <v>2</v>
      </c>
      <c r="E31" s="110">
        <v>1</v>
      </c>
      <c r="F31" s="110">
        <v>8</v>
      </c>
      <c r="G31" s="110">
        <v>4</v>
      </c>
      <c r="H31" s="110">
        <v>4</v>
      </c>
      <c r="I31" s="110">
        <v>0</v>
      </c>
      <c r="J31" s="110">
        <v>0</v>
      </c>
      <c r="K31" s="111">
        <f t="shared" si="0"/>
        <v>17</v>
      </c>
      <c r="L31" s="111">
        <f t="shared" si="1"/>
        <v>20</v>
      </c>
      <c r="M31" s="111" t="s">
        <v>139</v>
      </c>
      <c r="N31" s="117" t="s">
        <v>127</v>
      </c>
      <c r="O31" s="111">
        <f>IF(M31&lt;&gt;"",VLOOKUP(M31,Table1[[Menu Item]:[Complex]],MATCH(N31,'Points Category'!$C$2:$F$2,0)+1,0),"")</f>
        <v>5</v>
      </c>
    </row>
    <row r="32" spans="1:15" x14ac:dyDescent="0.2">
      <c r="A32" s="108" t="s">
        <v>138</v>
      </c>
      <c r="B32" s="109" t="s">
        <v>34</v>
      </c>
      <c r="C32" s="110">
        <v>1</v>
      </c>
      <c r="D32" s="110">
        <v>2</v>
      </c>
      <c r="E32" s="110">
        <v>1</v>
      </c>
      <c r="F32" s="110">
        <v>4</v>
      </c>
      <c r="G32" s="110">
        <v>0</v>
      </c>
      <c r="H32" s="110">
        <v>3</v>
      </c>
      <c r="I32" s="110">
        <v>0</v>
      </c>
      <c r="J32" s="110">
        <v>0</v>
      </c>
      <c r="K32" s="111">
        <f t="shared" si="0"/>
        <v>8</v>
      </c>
      <c r="L32" s="111">
        <f t="shared" si="1"/>
        <v>10</v>
      </c>
      <c r="M32" s="111" t="s">
        <v>139</v>
      </c>
      <c r="N32" s="117" t="s">
        <v>127</v>
      </c>
      <c r="O32" s="111">
        <f>IF(M32&lt;&gt;"",VLOOKUP(M32,Table1[[Menu Item]:[Complex]],MATCH(N32,'Points Category'!$C$2:$F$2,0)+1,0),"")</f>
        <v>5</v>
      </c>
    </row>
    <row r="33" spans="1:15" x14ac:dyDescent="0.2">
      <c r="A33" s="108" t="s">
        <v>138</v>
      </c>
      <c r="B33" s="109" t="s">
        <v>41</v>
      </c>
      <c r="C33" s="110">
        <v>2</v>
      </c>
      <c r="D33" s="110">
        <v>4</v>
      </c>
      <c r="E33" s="110">
        <v>1</v>
      </c>
      <c r="F33" s="110">
        <v>8</v>
      </c>
      <c r="G33" s="110">
        <v>8</v>
      </c>
      <c r="H33" s="110">
        <v>8</v>
      </c>
      <c r="I33" s="110">
        <v>0</v>
      </c>
      <c r="J33" s="110">
        <v>0</v>
      </c>
      <c r="K33" s="111">
        <f t="shared" si="0"/>
        <v>25</v>
      </c>
      <c r="L33" s="111">
        <f t="shared" si="1"/>
        <v>30</v>
      </c>
      <c r="M33" s="111" t="s">
        <v>140</v>
      </c>
      <c r="N33" s="117" t="s">
        <v>127</v>
      </c>
      <c r="O33" s="111">
        <f>IF(M33&lt;&gt;"",VLOOKUP(M33,Table1[[Menu Item]:[Complex]],MATCH(N33,'Points Category'!$C$2:$F$2,0)+1,0),"")</f>
        <v>10</v>
      </c>
    </row>
    <row r="34" spans="1:15" x14ac:dyDescent="0.2">
      <c r="A34" s="108" t="s">
        <v>138</v>
      </c>
      <c r="B34" s="109" t="s">
        <v>47</v>
      </c>
      <c r="C34" s="110">
        <v>4</v>
      </c>
      <c r="D34" s="110">
        <v>8</v>
      </c>
      <c r="E34" s="110">
        <v>2</v>
      </c>
      <c r="F34" s="110">
        <v>16</v>
      </c>
      <c r="G34" s="110">
        <v>16</v>
      </c>
      <c r="H34" s="110">
        <v>16</v>
      </c>
      <c r="I34" s="110">
        <v>0</v>
      </c>
      <c r="J34" s="110">
        <v>0</v>
      </c>
      <c r="K34" s="111">
        <f t="shared" si="0"/>
        <v>50</v>
      </c>
      <c r="L34" s="111">
        <f t="shared" si="1"/>
        <v>59</v>
      </c>
      <c r="M34" s="111" t="s">
        <v>141</v>
      </c>
      <c r="N34" s="117" t="s">
        <v>127</v>
      </c>
      <c r="O34" s="111">
        <f>IF(M34&lt;&gt;"",VLOOKUP(M34,Table1[[Menu Item]:[Complex]],MATCH(N34,'Points Category'!$C$2:$F$2,0)+1,0),"")</f>
        <v>18</v>
      </c>
    </row>
    <row r="35" spans="1:15" x14ac:dyDescent="0.2">
      <c r="A35" s="108" t="s">
        <v>138</v>
      </c>
      <c r="B35" s="109" t="s">
        <v>51</v>
      </c>
      <c r="C35" s="110">
        <v>8</v>
      </c>
      <c r="D35" s="110">
        <v>16</v>
      </c>
      <c r="E35" s="110">
        <v>2</v>
      </c>
      <c r="F35" s="110">
        <v>24</v>
      </c>
      <c r="G35" s="110">
        <v>24</v>
      </c>
      <c r="H35" s="110">
        <v>24</v>
      </c>
      <c r="I35" s="110">
        <v>0</v>
      </c>
      <c r="J35" s="110">
        <v>0</v>
      </c>
      <c r="K35" s="111">
        <f t="shared" ref="K35:K66" si="2">SUM($E35:$J35)</f>
        <v>74</v>
      </c>
      <c r="L35" s="111">
        <f t="shared" si="1"/>
        <v>88</v>
      </c>
      <c r="M35" s="111" t="s">
        <v>142</v>
      </c>
      <c r="N35" s="117" t="s">
        <v>127</v>
      </c>
      <c r="O35" s="111">
        <f>IF(M35&lt;&gt;"",VLOOKUP(M35,Table1[[Menu Item]:[Complex]],MATCH(N35,'Points Category'!$C$2:$F$2,0)+1,0),"")</f>
        <v>28</v>
      </c>
    </row>
    <row r="36" spans="1:15" x14ac:dyDescent="0.2">
      <c r="A36" s="108" t="s">
        <v>138</v>
      </c>
      <c r="B36" s="109" t="s">
        <v>55</v>
      </c>
      <c r="C36" s="110">
        <v>0</v>
      </c>
      <c r="D36" s="110">
        <v>1</v>
      </c>
      <c r="E36" s="110">
        <v>1</v>
      </c>
      <c r="F36" s="110">
        <v>3</v>
      </c>
      <c r="G36" s="110">
        <v>4</v>
      </c>
      <c r="H36" s="110">
        <v>4</v>
      </c>
      <c r="I36" s="110">
        <v>0</v>
      </c>
      <c r="J36" s="110">
        <v>0</v>
      </c>
      <c r="K36" s="111">
        <f t="shared" si="2"/>
        <v>12</v>
      </c>
      <c r="L36" s="111">
        <f t="shared" si="1"/>
        <v>15</v>
      </c>
      <c r="M36" s="111" t="s">
        <v>139</v>
      </c>
      <c r="N36" s="117" t="s">
        <v>126</v>
      </c>
      <c r="O36" s="111">
        <f>IF(M36&lt;&gt;"",VLOOKUP(M36,Table1[[Menu Item]:[Complex]],MATCH(N36,'Points Category'!$C$2:$F$2,0)+1,0),"")</f>
        <v>3</v>
      </c>
    </row>
    <row r="37" spans="1:15" x14ac:dyDescent="0.2">
      <c r="A37" s="108" t="s">
        <v>138</v>
      </c>
      <c r="B37" s="109" t="s">
        <v>58</v>
      </c>
      <c r="C37" s="110">
        <v>1</v>
      </c>
      <c r="D37" s="110">
        <v>3</v>
      </c>
      <c r="E37" s="110">
        <v>1</v>
      </c>
      <c r="F37" s="110">
        <v>3</v>
      </c>
      <c r="G37" s="110">
        <v>4</v>
      </c>
      <c r="H37" s="110">
        <v>4</v>
      </c>
      <c r="I37" s="110">
        <v>0</v>
      </c>
      <c r="J37" s="110">
        <v>0</v>
      </c>
      <c r="K37" s="111">
        <f t="shared" si="2"/>
        <v>12</v>
      </c>
      <c r="L37" s="111">
        <f t="shared" si="1"/>
        <v>15</v>
      </c>
      <c r="M37" s="111" t="s">
        <v>140</v>
      </c>
      <c r="N37" s="117" t="s">
        <v>126</v>
      </c>
      <c r="O37" s="111">
        <f>IF(M37&lt;&gt;"",VLOOKUP(M37,Table1[[Menu Item]:[Complex]],MATCH(N37,'Points Category'!$C$2:$F$2,0)+1,0),"")</f>
        <v>5</v>
      </c>
    </row>
    <row r="38" spans="1:15" x14ac:dyDescent="0.2">
      <c r="A38" s="108" t="s">
        <v>138</v>
      </c>
      <c r="B38" s="109" t="s">
        <v>61</v>
      </c>
      <c r="C38" s="110">
        <v>2</v>
      </c>
      <c r="D38" s="110">
        <v>5</v>
      </c>
      <c r="E38" s="110">
        <v>2</v>
      </c>
      <c r="F38" s="110">
        <v>6</v>
      </c>
      <c r="G38" s="110">
        <v>8</v>
      </c>
      <c r="H38" s="110">
        <v>8</v>
      </c>
      <c r="I38" s="110">
        <v>0</v>
      </c>
      <c r="J38" s="110">
        <v>0</v>
      </c>
      <c r="K38" s="111">
        <f t="shared" si="2"/>
        <v>24</v>
      </c>
      <c r="L38" s="111">
        <f t="shared" si="1"/>
        <v>29</v>
      </c>
      <c r="M38" s="111" t="s">
        <v>141</v>
      </c>
      <c r="N38" s="117" t="s">
        <v>126</v>
      </c>
      <c r="O38" s="111">
        <f>IF(M38&lt;&gt;"",VLOOKUP(M38,Table1[[Menu Item]:[Complex]],MATCH(N38,'Points Category'!$C$2:$F$2,0)+1,0),"")</f>
        <v>8</v>
      </c>
    </row>
    <row r="39" spans="1:15" x14ac:dyDescent="0.2">
      <c r="A39" s="108" t="s">
        <v>138</v>
      </c>
      <c r="B39" s="109" t="s">
        <v>64</v>
      </c>
      <c r="C39" s="110">
        <v>4</v>
      </c>
      <c r="D39" s="110">
        <v>8</v>
      </c>
      <c r="E39" s="110">
        <v>2</v>
      </c>
      <c r="F39" s="110">
        <v>8</v>
      </c>
      <c r="G39" s="110">
        <v>12</v>
      </c>
      <c r="H39" s="110">
        <v>12</v>
      </c>
      <c r="I39" s="110">
        <v>0</v>
      </c>
      <c r="J39" s="110">
        <v>0</v>
      </c>
      <c r="K39" s="111">
        <f t="shared" si="2"/>
        <v>34</v>
      </c>
      <c r="L39" s="111">
        <f t="shared" si="1"/>
        <v>40</v>
      </c>
      <c r="M39" s="111" t="s">
        <v>142</v>
      </c>
      <c r="N39" s="117" t="s">
        <v>126</v>
      </c>
      <c r="O39" s="111">
        <f>IF(M39&lt;&gt;"",VLOOKUP(M39,Table1[[Menu Item]:[Complex]],MATCH(N39,'Points Category'!$C$2:$F$2,0)+1,0),"")</f>
        <v>12</v>
      </c>
    </row>
    <row r="40" spans="1:15" x14ac:dyDescent="0.2">
      <c r="A40" s="108" t="s">
        <v>138</v>
      </c>
      <c r="B40" s="109" t="s">
        <v>66</v>
      </c>
      <c r="C40" s="110">
        <v>0</v>
      </c>
      <c r="D40" s="110">
        <v>1</v>
      </c>
      <c r="E40" s="110">
        <v>1</v>
      </c>
      <c r="F40" s="110">
        <v>0</v>
      </c>
      <c r="G40" s="110">
        <v>4</v>
      </c>
      <c r="H40" s="110">
        <v>4</v>
      </c>
      <c r="I40" s="110">
        <v>0</v>
      </c>
      <c r="J40" s="110">
        <v>0</v>
      </c>
      <c r="K40" s="111">
        <f t="shared" si="2"/>
        <v>9</v>
      </c>
      <c r="L40" s="111">
        <f t="shared" si="1"/>
        <v>11</v>
      </c>
      <c r="M40" s="111" t="s">
        <v>139</v>
      </c>
      <c r="N40" s="117" t="s">
        <v>126</v>
      </c>
      <c r="O40" s="111">
        <f>IF(M40&lt;&gt;"",VLOOKUP(M40,Table1[[Menu Item]:[Complex]],MATCH(N40,'Points Category'!$C$2:$F$2,0)+1,0),"")</f>
        <v>3</v>
      </c>
    </row>
    <row r="41" spans="1:15" x14ac:dyDescent="0.2">
      <c r="A41" s="108" t="s">
        <v>138</v>
      </c>
      <c r="B41" s="109" t="s">
        <v>68</v>
      </c>
      <c r="C41" s="110">
        <v>1</v>
      </c>
      <c r="D41" s="110">
        <v>3</v>
      </c>
      <c r="E41" s="110">
        <v>1</v>
      </c>
      <c r="F41" s="110">
        <v>0</v>
      </c>
      <c r="G41" s="110">
        <v>4</v>
      </c>
      <c r="H41" s="110">
        <v>4</v>
      </c>
      <c r="I41" s="110">
        <v>0</v>
      </c>
      <c r="J41" s="110">
        <v>0</v>
      </c>
      <c r="K41" s="111">
        <f t="shared" si="2"/>
        <v>9</v>
      </c>
      <c r="L41" s="111">
        <f t="shared" si="1"/>
        <v>11</v>
      </c>
      <c r="M41" s="111" t="s">
        <v>140</v>
      </c>
      <c r="N41" s="117" t="s">
        <v>126</v>
      </c>
      <c r="O41" s="111">
        <f>IF(M41&lt;&gt;"",VLOOKUP(M41,Table1[[Menu Item]:[Complex]],MATCH(N41,'Points Category'!$C$2:$F$2,0)+1,0),"")</f>
        <v>5</v>
      </c>
    </row>
    <row r="42" spans="1:15" x14ac:dyDescent="0.2">
      <c r="A42" s="108" t="s">
        <v>138</v>
      </c>
      <c r="B42" s="109" t="s">
        <v>70</v>
      </c>
      <c r="C42" s="110">
        <v>1</v>
      </c>
      <c r="D42" s="110">
        <v>4</v>
      </c>
      <c r="E42" s="110">
        <v>1</v>
      </c>
      <c r="F42" s="110">
        <v>0</v>
      </c>
      <c r="G42" s="110">
        <v>8</v>
      </c>
      <c r="H42" s="110">
        <v>8</v>
      </c>
      <c r="I42" s="110">
        <v>0</v>
      </c>
      <c r="J42" s="110">
        <v>0</v>
      </c>
      <c r="K42" s="111">
        <f t="shared" si="2"/>
        <v>17</v>
      </c>
      <c r="L42" s="111">
        <f t="shared" si="1"/>
        <v>20</v>
      </c>
      <c r="M42" s="111" t="s">
        <v>141</v>
      </c>
      <c r="N42" s="117" t="s">
        <v>126</v>
      </c>
      <c r="O42" s="111">
        <f>IF(M42&lt;&gt;"",VLOOKUP(M42,Table1[[Menu Item]:[Complex]],MATCH(N42,'Points Category'!$C$2:$F$2,0)+1,0),"")</f>
        <v>8</v>
      </c>
    </row>
    <row r="43" spans="1:15" x14ac:dyDescent="0.2">
      <c r="A43" s="108" t="s">
        <v>138</v>
      </c>
      <c r="B43" s="109" t="s">
        <v>72</v>
      </c>
      <c r="C43" s="110">
        <v>2</v>
      </c>
      <c r="D43" s="110">
        <v>4</v>
      </c>
      <c r="E43" s="110">
        <v>1</v>
      </c>
      <c r="F43" s="110">
        <v>0</v>
      </c>
      <c r="G43" s="110">
        <v>12</v>
      </c>
      <c r="H43" s="110">
        <v>12</v>
      </c>
      <c r="I43" s="110">
        <v>0</v>
      </c>
      <c r="J43" s="110">
        <v>0</v>
      </c>
      <c r="K43" s="111">
        <f t="shared" si="2"/>
        <v>25</v>
      </c>
      <c r="L43" s="111">
        <f t="shared" si="1"/>
        <v>30</v>
      </c>
      <c r="M43" s="111" t="s">
        <v>142</v>
      </c>
      <c r="N43" s="117" t="s">
        <v>126</v>
      </c>
      <c r="O43" s="111">
        <f>IF(M43&lt;&gt;"",VLOOKUP(M43,Table1[[Menu Item]:[Complex]],MATCH(N43,'Points Category'!$C$2:$F$2,0)+1,0),"")</f>
        <v>12</v>
      </c>
    </row>
    <row r="44" spans="1:15" x14ac:dyDescent="0.2">
      <c r="A44" s="108" t="s">
        <v>138</v>
      </c>
      <c r="B44" s="118" t="s">
        <v>74</v>
      </c>
      <c r="C44" s="110">
        <v>2</v>
      </c>
      <c r="D44" s="110">
        <v>4</v>
      </c>
      <c r="E44" s="110">
        <v>2</v>
      </c>
      <c r="F44" s="110">
        <v>24</v>
      </c>
      <c r="G44" s="110">
        <v>8</v>
      </c>
      <c r="H44" s="110">
        <v>12</v>
      </c>
      <c r="I44" s="110">
        <v>0</v>
      </c>
      <c r="J44" s="110">
        <v>0</v>
      </c>
      <c r="K44" s="111">
        <f t="shared" si="2"/>
        <v>46</v>
      </c>
      <c r="L44" s="111">
        <f t="shared" si="1"/>
        <v>55</v>
      </c>
      <c r="M44" s="111" t="s">
        <v>143</v>
      </c>
      <c r="N44" s="117" t="s">
        <v>126</v>
      </c>
      <c r="O44" s="111">
        <f>IF(M44&lt;&gt;"",VLOOKUP(M44,Table1[[Menu Item]:[Complex]],MATCH(N44,'Points Category'!$C$2:$F$2,0)+1,0),"")</f>
        <v>12</v>
      </c>
    </row>
    <row r="45" spans="1:15" x14ac:dyDescent="0.2">
      <c r="A45" s="108" t="s">
        <v>138</v>
      </c>
      <c r="B45" s="120" t="s">
        <v>76</v>
      </c>
      <c r="C45" s="110">
        <v>2</v>
      </c>
      <c r="D45" s="110">
        <v>4</v>
      </c>
      <c r="E45" s="110">
        <v>3</v>
      </c>
      <c r="F45" s="110">
        <v>32</v>
      </c>
      <c r="G45" s="110">
        <v>10</v>
      </c>
      <c r="H45" s="110">
        <v>16</v>
      </c>
      <c r="I45" s="110">
        <v>0</v>
      </c>
      <c r="J45" s="110">
        <v>0</v>
      </c>
      <c r="K45" s="111">
        <f t="shared" si="2"/>
        <v>61</v>
      </c>
      <c r="L45" s="111">
        <f t="shared" si="1"/>
        <v>72</v>
      </c>
      <c r="M45" s="111" t="s">
        <v>143</v>
      </c>
      <c r="N45" s="117" t="s">
        <v>127</v>
      </c>
      <c r="O45" s="111">
        <f>IF(M45&lt;&gt;"",VLOOKUP(M45,Table1[[Menu Item]:[Complex]],MATCH(N45,'Points Category'!$C$2:$F$2,0)+1,0),"")</f>
        <v>18</v>
      </c>
    </row>
    <row r="46" spans="1:15" x14ac:dyDescent="0.2">
      <c r="A46" s="108" t="s">
        <v>138</v>
      </c>
      <c r="B46" s="120" t="s">
        <v>77</v>
      </c>
      <c r="C46" s="110">
        <v>2</v>
      </c>
      <c r="D46" s="110">
        <v>4</v>
      </c>
      <c r="E46" s="110">
        <v>4</v>
      </c>
      <c r="F46" s="110">
        <v>36</v>
      </c>
      <c r="G46" s="110">
        <v>14</v>
      </c>
      <c r="H46" s="110">
        <v>20</v>
      </c>
      <c r="I46" s="110">
        <v>0</v>
      </c>
      <c r="J46" s="110">
        <v>0</v>
      </c>
      <c r="K46" s="111">
        <f t="shared" si="2"/>
        <v>74</v>
      </c>
      <c r="L46" s="111">
        <f t="shared" si="1"/>
        <v>88</v>
      </c>
      <c r="M46" s="111" t="s">
        <v>143</v>
      </c>
      <c r="N46" s="117" t="s">
        <v>128</v>
      </c>
      <c r="O46" s="111">
        <f>IF(M46&lt;&gt;"",VLOOKUP(M46,Table1[[Menu Item]:[Complex]],MATCH(N46,'Points Category'!$C$2:$F$2,0)+1,0),"")</f>
        <v>24</v>
      </c>
    </row>
    <row r="47" spans="1:15" x14ac:dyDescent="0.2">
      <c r="A47" s="108" t="s">
        <v>138</v>
      </c>
      <c r="B47" s="120" t="s">
        <v>144</v>
      </c>
      <c r="C47" s="110">
        <v>1</v>
      </c>
      <c r="D47" s="110">
        <v>2</v>
      </c>
      <c r="E47" s="110">
        <v>2</v>
      </c>
      <c r="F47" s="110">
        <v>24</v>
      </c>
      <c r="G47" s="110">
        <v>8</v>
      </c>
      <c r="H47" s="110">
        <v>12</v>
      </c>
      <c r="I47" s="110">
        <v>0</v>
      </c>
      <c r="J47" s="110">
        <v>0</v>
      </c>
      <c r="K47" s="111">
        <f t="shared" si="2"/>
        <v>46</v>
      </c>
      <c r="L47" s="111">
        <f t="shared" si="1"/>
        <v>55</v>
      </c>
      <c r="M47" s="111" t="s">
        <v>145</v>
      </c>
      <c r="N47" s="117" t="s">
        <v>126</v>
      </c>
      <c r="O47" s="111">
        <f>IF(M47&lt;&gt;"",VLOOKUP(M47,Table1[[Menu Item]:[Complex]],MATCH(N47,'Points Category'!$C$2:$F$2,0)+1,0),"")</f>
        <v>8</v>
      </c>
    </row>
    <row r="48" spans="1:15" x14ac:dyDescent="0.2">
      <c r="A48" s="108" t="s">
        <v>138</v>
      </c>
      <c r="B48" s="124" t="s">
        <v>150</v>
      </c>
      <c r="C48" s="110">
        <v>2</v>
      </c>
      <c r="D48" s="110">
        <v>4</v>
      </c>
      <c r="E48" s="110">
        <v>2</v>
      </c>
      <c r="F48" s="110">
        <v>30</v>
      </c>
      <c r="G48" s="110">
        <v>10</v>
      </c>
      <c r="H48" s="110">
        <v>16</v>
      </c>
      <c r="I48" s="110">
        <v>0</v>
      </c>
      <c r="J48" s="110">
        <v>0</v>
      </c>
      <c r="K48" s="111">
        <f t="shared" si="2"/>
        <v>58</v>
      </c>
      <c r="L48" s="111">
        <f t="shared" si="1"/>
        <v>69</v>
      </c>
      <c r="M48" s="111" t="s">
        <v>151</v>
      </c>
      <c r="N48" s="117" t="s">
        <v>126</v>
      </c>
      <c r="O48" s="111">
        <f>IF(M48&lt;&gt;"",VLOOKUP(M48,Table1[[Menu Item]:[Complex]],MATCH(N48,'Points Category'!$C$2:$F$2,0)+1,0),"")</f>
        <v>14</v>
      </c>
    </row>
    <row r="49" spans="1:15" x14ac:dyDescent="0.2">
      <c r="A49" s="108" t="s">
        <v>138</v>
      </c>
      <c r="B49" s="124" t="s">
        <v>152</v>
      </c>
      <c r="C49" s="110">
        <v>3</v>
      </c>
      <c r="D49" s="110">
        <v>6</v>
      </c>
      <c r="E49" s="110">
        <v>4</v>
      </c>
      <c r="F49" s="110">
        <v>45</v>
      </c>
      <c r="G49" s="110">
        <v>14</v>
      </c>
      <c r="H49" s="110">
        <v>24</v>
      </c>
      <c r="I49" s="110">
        <v>0</v>
      </c>
      <c r="J49" s="110">
        <v>0</v>
      </c>
      <c r="K49" s="111">
        <f t="shared" si="2"/>
        <v>87</v>
      </c>
      <c r="L49" s="111">
        <f t="shared" si="1"/>
        <v>103</v>
      </c>
      <c r="M49" s="111" t="s">
        <v>151</v>
      </c>
      <c r="N49" s="117" t="s">
        <v>127</v>
      </c>
      <c r="O49" s="111">
        <f>IF(M49&lt;&gt;"",VLOOKUP(M49,Table1[[Menu Item]:[Complex]],MATCH(N49,'Points Category'!$C$2:$F$2,0)+1,0),"")</f>
        <v>20</v>
      </c>
    </row>
    <row r="50" spans="1:15" x14ac:dyDescent="0.2">
      <c r="A50" s="108" t="s">
        <v>138</v>
      </c>
      <c r="B50" s="120" t="s">
        <v>153</v>
      </c>
      <c r="C50" s="110">
        <v>1</v>
      </c>
      <c r="D50" s="110">
        <v>2</v>
      </c>
      <c r="E50" s="110">
        <v>3</v>
      </c>
      <c r="F50" s="110">
        <v>16</v>
      </c>
      <c r="G50" s="110">
        <v>8</v>
      </c>
      <c r="H50" s="110">
        <v>12</v>
      </c>
      <c r="I50" s="110">
        <v>0</v>
      </c>
      <c r="J50" s="110">
        <v>0</v>
      </c>
      <c r="K50" s="111">
        <f t="shared" si="2"/>
        <v>39</v>
      </c>
      <c r="L50" s="111">
        <f t="shared" si="1"/>
        <v>46</v>
      </c>
      <c r="M50" s="111" t="s">
        <v>154</v>
      </c>
      <c r="N50" s="117" t="s">
        <v>126</v>
      </c>
      <c r="O50" s="111">
        <f>IF(M50&lt;&gt;"",VLOOKUP(M50,Table1[[Menu Item]:[Complex]],MATCH(N50,'Points Category'!$C$2:$F$2,0)+1,0),"")</f>
        <v>8</v>
      </c>
    </row>
    <row r="51" spans="1:15" x14ac:dyDescent="0.2">
      <c r="A51" s="108" t="s">
        <v>138</v>
      </c>
      <c r="B51" s="120" t="s">
        <v>80</v>
      </c>
      <c r="C51" s="110">
        <v>2</v>
      </c>
      <c r="D51" s="110">
        <v>4</v>
      </c>
      <c r="E51" s="110">
        <v>2</v>
      </c>
      <c r="F51" s="110">
        <v>16</v>
      </c>
      <c r="G51" s="110">
        <v>8</v>
      </c>
      <c r="H51" s="110">
        <v>8</v>
      </c>
      <c r="I51" s="110">
        <v>0</v>
      </c>
      <c r="J51" s="110">
        <v>0</v>
      </c>
      <c r="K51" s="111">
        <f t="shared" si="2"/>
        <v>34</v>
      </c>
      <c r="L51" s="111">
        <f t="shared" si="1"/>
        <v>40</v>
      </c>
      <c r="M51" s="111" t="s">
        <v>140</v>
      </c>
      <c r="N51" s="117" t="s">
        <v>127</v>
      </c>
      <c r="O51" s="111">
        <f>IF(M51&lt;&gt;"",VLOOKUP(M51,Table1[[Menu Item]:[Complex]],MATCH(N51,'Points Category'!$C$2:$F$2,0)+1,0),"")</f>
        <v>10</v>
      </c>
    </row>
    <row r="52" spans="1:15" x14ac:dyDescent="0.2">
      <c r="A52" s="108" t="s">
        <v>138</v>
      </c>
      <c r="B52" s="109" t="s">
        <v>81</v>
      </c>
      <c r="C52" s="110">
        <v>2</v>
      </c>
      <c r="D52" s="110">
        <v>4</v>
      </c>
      <c r="E52" s="110">
        <v>2</v>
      </c>
      <c r="F52" s="110">
        <v>4</v>
      </c>
      <c r="G52" s="110">
        <v>4</v>
      </c>
      <c r="H52" s="110">
        <v>4</v>
      </c>
      <c r="I52" s="110">
        <v>0</v>
      </c>
      <c r="J52" s="110">
        <v>0</v>
      </c>
      <c r="K52" s="111">
        <f t="shared" si="2"/>
        <v>14</v>
      </c>
      <c r="L52" s="111">
        <f t="shared" si="1"/>
        <v>17</v>
      </c>
      <c r="M52" s="111" t="s">
        <v>140</v>
      </c>
      <c r="N52" s="117" t="s">
        <v>127</v>
      </c>
      <c r="O52" s="111">
        <f>IF(M52&lt;&gt;"",VLOOKUP(M52,Table1[[Menu Item]:[Complex]],MATCH(N52,'Points Category'!$C$2:$F$2,0)+1,0),"")</f>
        <v>10</v>
      </c>
    </row>
    <row r="53" spans="1:15" x14ac:dyDescent="0.2">
      <c r="A53" s="108" t="s">
        <v>138</v>
      </c>
      <c r="B53" s="109" t="s">
        <v>82</v>
      </c>
      <c r="C53" s="110">
        <v>2</v>
      </c>
      <c r="D53" s="110">
        <v>4</v>
      </c>
      <c r="E53" s="110">
        <v>2</v>
      </c>
      <c r="F53" s="110">
        <v>0</v>
      </c>
      <c r="G53" s="110">
        <v>4</v>
      </c>
      <c r="H53" s="110">
        <v>4</v>
      </c>
      <c r="I53" s="110">
        <v>0</v>
      </c>
      <c r="J53" s="110">
        <v>0</v>
      </c>
      <c r="K53" s="111">
        <f t="shared" si="2"/>
        <v>10</v>
      </c>
      <c r="L53" s="111">
        <f t="shared" si="1"/>
        <v>12</v>
      </c>
      <c r="M53" s="111" t="s">
        <v>140</v>
      </c>
      <c r="N53" s="117" t="s">
        <v>126</v>
      </c>
      <c r="O53" s="111">
        <f>IF(M53&lt;&gt;"",VLOOKUP(M53,Table1[[Menu Item]:[Complex]],MATCH(N53,'Points Category'!$C$2:$F$2,0)+1,0),"")</f>
        <v>5</v>
      </c>
    </row>
    <row r="54" spans="1:15" x14ac:dyDescent="0.2">
      <c r="A54" s="108" t="s">
        <v>138</v>
      </c>
      <c r="B54" s="109" t="s">
        <v>83</v>
      </c>
      <c r="C54" s="110">
        <v>2</v>
      </c>
      <c r="D54" s="110">
        <v>4</v>
      </c>
      <c r="E54" s="110">
        <v>2</v>
      </c>
      <c r="F54" s="110">
        <v>8</v>
      </c>
      <c r="G54" s="110">
        <v>0</v>
      </c>
      <c r="H54" s="110">
        <v>8</v>
      </c>
      <c r="I54" s="110">
        <v>0</v>
      </c>
      <c r="J54" s="110">
        <v>0</v>
      </c>
      <c r="K54" s="111">
        <f t="shared" si="2"/>
        <v>18</v>
      </c>
      <c r="L54" s="111">
        <f t="shared" si="1"/>
        <v>22</v>
      </c>
      <c r="M54" s="111" t="s">
        <v>131</v>
      </c>
      <c r="N54" s="117" t="s">
        <v>126</v>
      </c>
      <c r="O54" s="111">
        <f>IF(M54&lt;&gt;"",VLOOKUP(M54,Table1[[Menu Item]:[Complex]],MATCH(N54,'Points Category'!$C$2:$F$2,0)+1,0),"")</f>
        <v>8</v>
      </c>
    </row>
    <row r="55" spans="1:15" x14ac:dyDescent="0.2">
      <c r="A55" s="108" t="s">
        <v>138</v>
      </c>
      <c r="B55" s="109" t="s">
        <v>84</v>
      </c>
      <c r="C55" s="110">
        <v>2</v>
      </c>
      <c r="D55" s="110">
        <v>4</v>
      </c>
      <c r="E55" s="110">
        <v>2</v>
      </c>
      <c r="F55" s="110">
        <v>8</v>
      </c>
      <c r="G55" s="110">
        <v>8</v>
      </c>
      <c r="H55" s="110">
        <v>8</v>
      </c>
      <c r="I55" s="110">
        <v>0</v>
      </c>
      <c r="J55" s="110">
        <v>0</v>
      </c>
      <c r="K55" s="111">
        <f t="shared" si="2"/>
        <v>26</v>
      </c>
      <c r="L55" s="111">
        <f t="shared" si="1"/>
        <v>31</v>
      </c>
      <c r="M55" s="111" t="s">
        <v>131</v>
      </c>
      <c r="N55" s="117" t="s">
        <v>126</v>
      </c>
      <c r="O55" s="111">
        <f>IF(M55&lt;&gt;"",VLOOKUP(M55,Table1[[Menu Item]:[Complex]],MATCH(N55,'Points Category'!$C$2:$F$2,0)+1,0),"")</f>
        <v>8</v>
      </c>
    </row>
    <row r="56" spans="1:15" x14ac:dyDescent="0.2">
      <c r="A56" s="108" t="s">
        <v>138</v>
      </c>
      <c r="B56" s="118" t="s">
        <v>85</v>
      </c>
      <c r="C56" s="110">
        <v>0.5</v>
      </c>
      <c r="D56" s="110">
        <v>1</v>
      </c>
      <c r="E56" s="110">
        <v>1</v>
      </c>
      <c r="F56" s="110">
        <v>2</v>
      </c>
      <c r="G56" s="110">
        <v>2</v>
      </c>
      <c r="H56" s="110">
        <v>1</v>
      </c>
      <c r="I56" s="110">
        <v>0</v>
      </c>
      <c r="J56" s="110">
        <v>0</v>
      </c>
      <c r="K56" s="111">
        <f t="shared" si="2"/>
        <v>6</v>
      </c>
      <c r="L56" s="111">
        <f t="shared" si="1"/>
        <v>8</v>
      </c>
      <c r="M56" s="111" t="s">
        <v>139</v>
      </c>
      <c r="N56" s="117" t="s">
        <v>126</v>
      </c>
      <c r="O56" s="111">
        <f>IF(M56&lt;&gt;"",VLOOKUP(M56,Table1[[Menu Item]:[Complex]],MATCH(N56,'Points Category'!$C$2:$F$2,0)+1,0),"")</f>
        <v>3</v>
      </c>
    </row>
    <row r="57" spans="1:15" x14ac:dyDescent="0.2">
      <c r="A57" s="108" t="s">
        <v>155</v>
      </c>
      <c r="B57" s="109" t="s">
        <v>12</v>
      </c>
      <c r="C57" s="110">
        <v>1</v>
      </c>
      <c r="D57" s="110">
        <v>4</v>
      </c>
      <c r="E57" s="110">
        <v>2</v>
      </c>
      <c r="F57" s="110">
        <v>2</v>
      </c>
      <c r="G57" s="110">
        <v>0</v>
      </c>
      <c r="H57" s="110">
        <v>1</v>
      </c>
      <c r="I57" s="110">
        <v>2</v>
      </c>
      <c r="J57" s="110">
        <v>0</v>
      </c>
      <c r="K57" s="111">
        <f t="shared" si="2"/>
        <v>7</v>
      </c>
      <c r="L57" s="111">
        <f t="shared" si="1"/>
        <v>9</v>
      </c>
      <c r="M57" s="111" t="s">
        <v>156</v>
      </c>
      <c r="N57" s="117" t="s">
        <v>126</v>
      </c>
      <c r="O57" s="111">
        <f>IF(M57&lt;&gt;"",VLOOKUP(M57,Table1[[Menu Item]:[Complex]],MATCH(N57,'Points Category'!$C$2:$F$2,0)+1,0),"")</f>
        <v>4</v>
      </c>
    </row>
    <row r="58" spans="1:15" x14ac:dyDescent="0.2">
      <c r="A58" s="108" t="s">
        <v>155</v>
      </c>
      <c r="B58" s="109" t="s">
        <v>21</v>
      </c>
      <c r="C58" s="110">
        <v>1</v>
      </c>
      <c r="D58" s="110">
        <v>4</v>
      </c>
      <c r="E58" s="110">
        <v>2</v>
      </c>
      <c r="F58" s="110">
        <v>4</v>
      </c>
      <c r="G58" s="110">
        <v>0</v>
      </c>
      <c r="H58" s="110">
        <v>1</v>
      </c>
      <c r="I58" s="110">
        <v>16</v>
      </c>
      <c r="J58" s="110">
        <v>0</v>
      </c>
      <c r="K58" s="111">
        <f t="shared" si="2"/>
        <v>23</v>
      </c>
      <c r="L58" s="111">
        <f t="shared" si="1"/>
        <v>28</v>
      </c>
      <c r="M58" s="111" t="s">
        <v>157</v>
      </c>
      <c r="N58" s="117" t="s">
        <v>126</v>
      </c>
      <c r="O58" s="111">
        <f>IF(M58&lt;&gt;"",VLOOKUP(M58,Table1[[Menu Item]:[Complex]],MATCH(N58,'Points Category'!$C$2:$F$2,0)+1,0),"")</f>
        <v>6</v>
      </c>
    </row>
    <row r="59" spans="1:15" x14ac:dyDescent="0.2">
      <c r="A59" s="108" t="s">
        <v>155</v>
      </c>
      <c r="B59" s="109" t="s">
        <v>28</v>
      </c>
      <c r="C59" s="110">
        <v>1</v>
      </c>
      <c r="D59" s="110">
        <v>4</v>
      </c>
      <c r="E59" s="110">
        <v>1</v>
      </c>
      <c r="F59" s="110">
        <v>2</v>
      </c>
      <c r="G59" s="110">
        <v>0</v>
      </c>
      <c r="H59" s="110">
        <v>0</v>
      </c>
      <c r="I59" s="110">
        <v>2</v>
      </c>
      <c r="J59" s="110">
        <v>0</v>
      </c>
      <c r="K59" s="111">
        <f t="shared" si="2"/>
        <v>5</v>
      </c>
      <c r="L59" s="111">
        <f t="shared" si="1"/>
        <v>6</v>
      </c>
      <c r="M59" s="111" t="s">
        <v>156</v>
      </c>
      <c r="N59" s="117" t="s">
        <v>126</v>
      </c>
      <c r="O59" s="111">
        <f>IF(M59&lt;&gt;"",VLOOKUP(M59,Table1[[Menu Item]:[Complex]],MATCH(N59,'Points Category'!$C$2:$F$2,0)+1,0),"")</f>
        <v>4</v>
      </c>
    </row>
    <row r="60" spans="1:15" x14ac:dyDescent="0.2">
      <c r="A60" s="108" t="s">
        <v>155</v>
      </c>
      <c r="B60" s="109" t="s">
        <v>35</v>
      </c>
      <c r="C60" s="110">
        <v>1</v>
      </c>
      <c r="D60" s="110">
        <v>4</v>
      </c>
      <c r="E60" s="110">
        <v>2</v>
      </c>
      <c r="F60" s="110">
        <v>2</v>
      </c>
      <c r="G60" s="110">
        <v>0</v>
      </c>
      <c r="H60" s="110">
        <v>0</v>
      </c>
      <c r="I60" s="110">
        <v>120</v>
      </c>
      <c r="J60" s="110">
        <v>0</v>
      </c>
      <c r="K60" s="111">
        <f t="shared" si="2"/>
        <v>124</v>
      </c>
      <c r="L60" s="111">
        <f t="shared" si="1"/>
        <v>146</v>
      </c>
      <c r="M60" s="111" t="s">
        <v>158</v>
      </c>
      <c r="N60" s="117" t="s">
        <v>126</v>
      </c>
      <c r="O60" s="111">
        <f>IF(M60&lt;&gt;"",VLOOKUP(M60,Table1[[Menu Item]:[Complex]],MATCH(N60,'Points Category'!$C$2:$F$2,0)+1,0),"")</f>
        <v>20</v>
      </c>
    </row>
    <row r="61" spans="1:15" x14ac:dyDescent="0.2">
      <c r="A61" s="108" t="s">
        <v>155</v>
      </c>
      <c r="B61" s="109" t="s">
        <v>42</v>
      </c>
      <c r="C61" s="110">
        <v>1</v>
      </c>
      <c r="D61" s="110">
        <v>4</v>
      </c>
      <c r="E61" s="110">
        <v>1</v>
      </c>
      <c r="F61" s="110">
        <v>1</v>
      </c>
      <c r="G61" s="110">
        <v>0</v>
      </c>
      <c r="H61" s="110">
        <v>0</v>
      </c>
      <c r="I61" s="110">
        <v>20</v>
      </c>
      <c r="J61" s="110"/>
      <c r="K61" s="111">
        <f t="shared" si="2"/>
        <v>22</v>
      </c>
      <c r="L61" s="111">
        <f t="shared" si="1"/>
        <v>26</v>
      </c>
      <c r="M61" s="111" t="s">
        <v>158</v>
      </c>
      <c r="N61" s="117" t="s">
        <v>126</v>
      </c>
      <c r="O61" s="111">
        <f>IF(M61&lt;&gt;"",VLOOKUP(M61,Table1[[Menu Item]:[Complex]],MATCH(N61,'Points Category'!$C$2:$F$2,0)+1,0),"")</f>
        <v>20</v>
      </c>
    </row>
    <row r="62" spans="1:15" x14ac:dyDescent="0.2">
      <c r="A62" s="108" t="s">
        <v>155</v>
      </c>
      <c r="B62" s="118" t="s">
        <v>48</v>
      </c>
      <c r="C62" s="110">
        <v>1</v>
      </c>
      <c r="D62" s="110">
        <v>1</v>
      </c>
      <c r="E62" s="110">
        <v>2</v>
      </c>
      <c r="F62" s="110">
        <v>2</v>
      </c>
      <c r="G62" s="110">
        <v>0</v>
      </c>
      <c r="H62" s="110">
        <v>2</v>
      </c>
      <c r="I62" s="110">
        <v>16</v>
      </c>
      <c r="J62" s="110">
        <v>0</v>
      </c>
      <c r="K62" s="111">
        <f t="shared" si="2"/>
        <v>22</v>
      </c>
      <c r="L62" s="111">
        <f t="shared" si="1"/>
        <v>26</v>
      </c>
      <c r="M62" s="111" t="s">
        <v>159</v>
      </c>
      <c r="N62" s="117" t="s">
        <v>126</v>
      </c>
      <c r="O62" s="111">
        <f>IF(M62&lt;&gt;"",VLOOKUP(M62,Table1[[Menu Item]:[Complex]],MATCH(N62,'Points Category'!$C$2:$F$2,0)+1,0),"")</f>
        <v>5</v>
      </c>
    </row>
    <row r="63" spans="1:15" x14ac:dyDescent="0.2">
      <c r="A63" s="108" t="s">
        <v>155</v>
      </c>
      <c r="B63" s="118" t="s">
        <v>52</v>
      </c>
      <c r="C63" s="110">
        <v>1</v>
      </c>
      <c r="D63" s="110">
        <v>1</v>
      </c>
      <c r="E63" s="110">
        <v>2</v>
      </c>
      <c r="F63" s="110">
        <v>2</v>
      </c>
      <c r="G63" s="110">
        <v>0</v>
      </c>
      <c r="H63" s="110">
        <v>2</v>
      </c>
      <c r="I63" s="110">
        <v>120</v>
      </c>
      <c r="J63" s="110">
        <v>0</v>
      </c>
      <c r="K63" s="111">
        <f t="shared" si="2"/>
        <v>126</v>
      </c>
      <c r="L63" s="111">
        <f t="shared" si="1"/>
        <v>149</v>
      </c>
      <c r="M63" s="111" t="s">
        <v>158</v>
      </c>
      <c r="N63" s="117" t="s">
        <v>126</v>
      </c>
      <c r="O63" s="111">
        <f>IF(M63&lt;&gt;"",VLOOKUP(M63,Table1[[Menu Item]:[Complex]],MATCH(N63,'Points Category'!$C$2:$F$2,0)+1,0),"")</f>
        <v>20</v>
      </c>
    </row>
    <row r="64" spans="1:15" x14ac:dyDescent="0.2">
      <c r="A64" s="108" t="s">
        <v>155</v>
      </c>
      <c r="B64" s="118" t="s">
        <v>56</v>
      </c>
      <c r="C64" s="110">
        <v>0.5</v>
      </c>
      <c r="D64" s="110">
        <v>1</v>
      </c>
      <c r="E64" s="110">
        <v>2</v>
      </c>
      <c r="F64" s="110">
        <v>2</v>
      </c>
      <c r="G64" s="110">
        <v>0</v>
      </c>
      <c r="H64" s="110">
        <v>1</v>
      </c>
      <c r="I64" s="110">
        <v>40</v>
      </c>
      <c r="J64" s="110">
        <v>0</v>
      </c>
      <c r="K64" s="111">
        <f t="shared" si="2"/>
        <v>45</v>
      </c>
      <c r="L64" s="111">
        <f t="shared" si="1"/>
        <v>53</v>
      </c>
      <c r="M64" s="111" t="s">
        <v>160</v>
      </c>
      <c r="N64" s="117" t="s">
        <v>126</v>
      </c>
      <c r="O64" s="111">
        <f>IF(M64&lt;&gt;"",VLOOKUP(M64,Table1[[Menu Item]:[Complex]],MATCH(N64,'Points Category'!$C$2:$F$2,0)+1,0),"")</f>
        <v>8</v>
      </c>
    </row>
    <row r="65" spans="1:15" x14ac:dyDescent="0.2">
      <c r="A65" s="108" t="s">
        <v>155</v>
      </c>
      <c r="B65" s="118" t="s">
        <v>59</v>
      </c>
      <c r="C65" s="110">
        <v>0.5</v>
      </c>
      <c r="D65" s="110">
        <v>0.5</v>
      </c>
      <c r="E65" s="110">
        <v>2</v>
      </c>
      <c r="F65" s="110">
        <v>2</v>
      </c>
      <c r="G65" s="110">
        <v>0</v>
      </c>
      <c r="H65" s="110">
        <v>1</v>
      </c>
      <c r="I65" s="110">
        <v>0</v>
      </c>
      <c r="J65" s="110">
        <v>0</v>
      </c>
      <c r="K65" s="111">
        <f t="shared" si="2"/>
        <v>5</v>
      </c>
      <c r="L65" s="111">
        <f t="shared" si="1"/>
        <v>6</v>
      </c>
      <c r="M65" s="111" t="s">
        <v>156</v>
      </c>
      <c r="N65" s="117" t="s">
        <v>126</v>
      </c>
      <c r="O65" s="111">
        <f>IF(M65&lt;&gt;"",VLOOKUP(M65,Table1[[Menu Item]:[Complex]],MATCH(N65,'Points Category'!$C$2:$F$2,0)+1,0),"")</f>
        <v>4</v>
      </c>
    </row>
    <row r="66" spans="1:15" x14ac:dyDescent="0.2">
      <c r="A66" s="108" t="s">
        <v>155</v>
      </c>
      <c r="B66" s="118" t="s">
        <v>62</v>
      </c>
      <c r="C66" s="110">
        <v>1</v>
      </c>
      <c r="D66" s="110">
        <v>1</v>
      </c>
      <c r="E66" s="110">
        <v>2</v>
      </c>
      <c r="F66" s="110">
        <v>2</v>
      </c>
      <c r="G66" s="110">
        <v>0</v>
      </c>
      <c r="H66" s="110">
        <v>1</v>
      </c>
      <c r="I66" s="110">
        <v>2</v>
      </c>
      <c r="J66" s="110"/>
      <c r="K66" s="111">
        <f t="shared" si="2"/>
        <v>7</v>
      </c>
      <c r="L66" s="111">
        <f t="shared" si="1"/>
        <v>9</v>
      </c>
      <c r="M66" s="111" t="s">
        <v>156</v>
      </c>
      <c r="N66" s="117" t="s">
        <v>126</v>
      </c>
      <c r="O66" s="111">
        <f>IF(M66&lt;&gt;"",VLOOKUP(M66,Table1[[Menu Item]:[Complex]],MATCH(N66,'Points Category'!$C$2:$F$2,0)+1,0),"")</f>
        <v>4</v>
      </c>
    </row>
    <row r="67" spans="1:15" x14ac:dyDescent="0.2">
      <c r="A67" s="114" t="s">
        <v>134</v>
      </c>
      <c r="B67" s="109" t="s">
        <v>13</v>
      </c>
      <c r="C67" s="110">
        <v>0</v>
      </c>
      <c r="D67" s="110">
        <v>0.5</v>
      </c>
      <c r="E67" s="110">
        <v>0</v>
      </c>
      <c r="F67" s="110">
        <v>1</v>
      </c>
      <c r="G67" s="110">
        <v>1</v>
      </c>
      <c r="H67" s="110">
        <v>1</v>
      </c>
      <c r="I67" s="110">
        <v>1</v>
      </c>
      <c r="J67" s="110">
        <v>0</v>
      </c>
      <c r="K67" s="111">
        <f t="shared" ref="K67:K72" si="3">SUM($E67:$J67)</f>
        <v>4</v>
      </c>
      <c r="L67" s="111">
        <f t="shared" si="1"/>
        <v>5</v>
      </c>
      <c r="M67" s="111" t="s">
        <v>135</v>
      </c>
      <c r="N67" s="117" t="s">
        <v>126</v>
      </c>
      <c r="O67" s="111">
        <f>IF(M67&lt;&gt;"",VLOOKUP(M67,Table1[[Menu Item]:[Complex]],MATCH(N67,'Points Category'!$C$2:$F$2,0)+1,0),"")</f>
        <v>1</v>
      </c>
    </row>
    <row r="68" spans="1:15" x14ac:dyDescent="0.2">
      <c r="A68" s="114" t="s">
        <v>134</v>
      </c>
      <c r="B68" s="109" t="s">
        <v>22</v>
      </c>
      <c r="C68" s="110">
        <v>0</v>
      </c>
      <c r="D68" s="110">
        <v>0.5</v>
      </c>
      <c r="E68" s="110">
        <v>0</v>
      </c>
      <c r="F68" s="110">
        <v>0</v>
      </c>
      <c r="G68" s="110">
        <v>0</v>
      </c>
      <c r="H68" s="110">
        <v>0</v>
      </c>
      <c r="I68" s="110">
        <v>1</v>
      </c>
      <c r="J68" s="110">
        <v>0</v>
      </c>
      <c r="K68" s="111">
        <f t="shared" si="3"/>
        <v>1</v>
      </c>
      <c r="L68" s="111">
        <f t="shared" ref="L68:L100" si="4">ROUNDUP(K68/0.85,0)</f>
        <v>2</v>
      </c>
      <c r="M68" s="111" t="s">
        <v>136</v>
      </c>
      <c r="N68" s="117" t="s">
        <v>126</v>
      </c>
      <c r="O68" s="111">
        <f>IF(M68&lt;&gt;"",VLOOKUP(M68,Table1[[Menu Item]:[Complex]],MATCH(N68,'Points Category'!$C$2:$F$2,0)+1,0),"")</f>
        <v>1</v>
      </c>
    </row>
    <row r="69" spans="1:15" x14ac:dyDescent="0.2">
      <c r="A69" s="114" t="s">
        <v>134</v>
      </c>
      <c r="B69" s="118" t="s">
        <v>10</v>
      </c>
      <c r="C69" s="110">
        <v>0.5</v>
      </c>
      <c r="D69" s="110">
        <v>0.5</v>
      </c>
      <c r="E69" s="110">
        <v>0</v>
      </c>
      <c r="F69" s="110">
        <v>1</v>
      </c>
      <c r="G69" s="110">
        <v>0</v>
      </c>
      <c r="H69" s="110">
        <v>0</v>
      </c>
      <c r="I69" s="113">
        <v>1</v>
      </c>
      <c r="J69" s="110">
        <v>0</v>
      </c>
      <c r="K69" s="111">
        <f t="shared" si="3"/>
        <v>2</v>
      </c>
      <c r="L69" s="111">
        <f t="shared" si="4"/>
        <v>3</v>
      </c>
      <c r="M69" s="111" t="s">
        <v>135</v>
      </c>
      <c r="N69" s="117" t="s">
        <v>126</v>
      </c>
      <c r="O69" s="111">
        <f>IF(M69&lt;&gt;"",VLOOKUP(M69,Table1[[Menu Item]:[Complex]],MATCH(N69,'Points Category'!$C$2:$F$2,0)+1,0),"")</f>
        <v>1</v>
      </c>
    </row>
    <row r="70" spans="1:15" x14ac:dyDescent="0.2">
      <c r="A70" s="114" t="s">
        <v>134</v>
      </c>
      <c r="B70" s="118" t="s">
        <v>19</v>
      </c>
      <c r="C70" s="110">
        <v>0.15</v>
      </c>
      <c r="D70" s="110">
        <v>0.25</v>
      </c>
      <c r="E70" s="110">
        <v>0</v>
      </c>
      <c r="F70" s="110">
        <v>2</v>
      </c>
      <c r="G70" s="110">
        <v>0</v>
      </c>
      <c r="H70" s="110">
        <v>1</v>
      </c>
      <c r="I70" s="113">
        <v>0</v>
      </c>
      <c r="J70" s="110">
        <v>0</v>
      </c>
      <c r="K70" s="111">
        <f t="shared" si="3"/>
        <v>3</v>
      </c>
      <c r="L70" s="111">
        <f t="shared" si="4"/>
        <v>4</v>
      </c>
      <c r="M70" s="111" t="s">
        <v>137</v>
      </c>
      <c r="N70" s="117" t="s">
        <v>126</v>
      </c>
      <c r="O70" s="111">
        <f>IF(M70&lt;&gt;"",VLOOKUP(M70,Table1[[Menu Item]:[Complex]],MATCH(N70,'Points Category'!$C$2:$F$2,0)+1,0),"")</f>
        <v>1</v>
      </c>
    </row>
    <row r="71" spans="1:15" x14ac:dyDescent="0.2">
      <c r="A71" s="114" t="s">
        <v>134</v>
      </c>
      <c r="B71" s="118" t="s">
        <v>26</v>
      </c>
      <c r="C71" s="110">
        <v>0.15</v>
      </c>
      <c r="D71" s="110">
        <v>0.25</v>
      </c>
      <c r="E71" s="110">
        <v>0</v>
      </c>
      <c r="F71" s="110">
        <v>2</v>
      </c>
      <c r="G71" s="110">
        <v>0</v>
      </c>
      <c r="H71" s="110">
        <v>0</v>
      </c>
      <c r="I71" s="113">
        <v>1</v>
      </c>
      <c r="J71" s="110">
        <v>0</v>
      </c>
      <c r="K71" s="111">
        <f t="shared" si="3"/>
        <v>3</v>
      </c>
      <c r="L71" s="111">
        <f t="shared" si="4"/>
        <v>4</v>
      </c>
      <c r="M71" s="111" t="s">
        <v>137</v>
      </c>
      <c r="N71" s="117" t="s">
        <v>126</v>
      </c>
      <c r="O71" s="111">
        <f>IF(M71&lt;&gt;"",VLOOKUP(M71,Table1[[Menu Item]:[Complex]],MATCH(N71,'Points Category'!$C$2:$F$2,0)+1,0),"")</f>
        <v>1</v>
      </c>
    </row>
    <row r="72" spans="1:15" x14ac:dyDescent="0.2">
      <c r="A72" s="114" t="s">
        <v>134</v>
      </c>
      <c r="B72" s="118" t="s">
        <v>40</v>
      </c>
      <c r="C72" s="110">
        <v>0.15</v>
      </c>
      <c r="D72" s="110">
        <v>0.25</v>
      </c>
      <c r="E72" s="110">
        <v>0</v>
      </c>
      <c r="F72" s="110">
        <v>2</v>
      </c>
      <c r="G72" s="110">
        <v>0</v>
      </c>
      <c r="H72" s="110">
        <v>1</v>
      </c>
      <c r="I72" s="113">
        <v>2</v>
      </c>
      <c r="J72" s="110">
        <v>0</v>
      </c>
      <c r="K72" s="111">
        <f t="shared" si="3"/>
        <v>5</v>
      </c>
      <c r="L72" s="111">
        <f t="shared" si="4"/>
        <v>6</v>
      </c>
      <c r="M72" s="111" t="s">
        <v>137</v>
      </c>
      <c r="N72" s="117" t="s">
        <v>126</v>
      </c>
      <c r="O72" s="111">
        <f>IF(M72&lt;&gt;"",VLOOKUP(M72,Table1[[Menu Item]:[Complex]],MATCH(N72,'Points Category'!$C$2:$F$2,0)+1,0),"")</f>
        <v>1</v>
      </c>
    </row>
    <row r="73" spans="1:15" x14ac:dyDescent="0.2">
      <c r="A73" s="108" t="s">
        <v>4</v>
      </c>
      <c r="B73" s="109" t="s">
        <v>14</v>
      </c>
      <c r="C73" s="110">
        <v>0</v>
      </c>
      <c r="D73" s="110">
        <v>0</v>
      </c>
      <c r="E73" s="110">
        <v>0</v>
      </c>
      <c r="F73" s="110">
        <v>0</v>
      </c>
      <c r="G73" s="110">
        <v>0</v>
      </c>
      <c r="H73" s="110">
        <v>0</v>
      </c>
      <c r="I73" s="110">
        <v>0</v>
      </c>
      <c r="J73" s="125">
        <v>0.1</v>
      </c>
      <c r="K73" s="111"/>
      <c r="L73" s="111">
        <f t="shared" si="4"/>
        <v>0</v>
      </c>
      <c r="M73" s="110"/>
      <c r="N73" s="112"/>
      <c r="O73" s="111" t="str">
        <f>IF(M73&lt;&gt;"",VLOOKUP(M73,Table1[[Menu Item]:[Complex]],MATCH(N73,'Points Category'!$C$2:$F$2,0)+1,0),"")</f>
        <v/>
      </c>
    </row>
    <row r="74" spans="1:15" x14ac:dyDescent="0.2">
      <c r="A74" s="108" t="s">
        <v>4</v>
      </c>
      <c r="B74" s="109" t="s">
        <v>23</v>
      </c>
      <c r="C74" s="110">
        <v>0</v>
      </c>
      <c r="D74" s="110">
        <v>0</v>
      </c>
      <c r="E74" s="110">
        <v>0</v>
      </c>
      <c r="F74" s="110">
        <v>0</v>
      </c>
      <c r="G74" s="110">
        <v>0</v>
      </c>
      <c r="H74" s="110">
        <v>0</v>
      </c>
      <c r="I74" s="110">
        <v>0</v>
      </c>
      <c r="J74" s="110">
        <v>0</v>
      </c>
      <c r="K74" s="111"/>
      <c r="L74" s="111">
        <f t="shared" si="4"/>
        <v>0</v>
      </c>
      <c r="M74" s="110"/>
      <c r="N74" s="112"/>
      <c r="O74" s="111" t="str">
        <f>IF(M74&lt;&gt;"",VLOOKUP(M74,Table1[[Menu Item]:[Complex]],MATCH(N74,'Points Category'!$C$2:$F$2,0)+1,0),"")</f>
        <v/>
      </c>
    </row>
    <row r="75" spans="1:15" x14ac:dyDescent="0.2">
      <c r="A75" s="108" t="s">
        <v>4</v>
      </c>
      <c r="B75" s="109" t="s">
        <v>30</v>
      </c>
      <c r="C75" s="110">
        <v>0</v>
      </c>
      <c r="D75" s="110">
        <v>0</v>
      </c>
      <c r="E75" s="110">
        <v>0</v>
      </c>
      <c r="F75" s="110">
        <v>6</v>
      </c>
      <c r="G75" s="110">
        <v>1</v>
      </c>
      <c r="H75" s="110">
        <v>1</v>
      </c>
      <c r="I75" s="110">
        <v>0</v>
      </c>
      <c r="J75" s="110">
        <v>4</v>
      </c>
      <c r="K75" s="111"/>
      <c r="L75" s="111">
        <f t="shared" si="4"/>
        <v>0</v>
      </c>
      <c r="M75" s="110"/>
      <c r="N75" s="112"/>
      <c r="O75" s="111" t="str">
        <f>IF(M75&lt;&gt;"",VLOOKUP(M75,Table1[[Menu Item]:[Complex]],MATCH(N75,'Points Category'!$C$2:$F$2,0)+1,0),"")</f>
        <v/>
      </c>
    </row>
    <row r="76" spans="1:15" x14ac:dyDescent="0.2">
      <c r="A76" s="108" t="s">
        <v>4</v>
      </c>
      <c r="B76" s="109" t="s">
        <v>37</v>
      </c>
      <c r="C76" s="110">
        <v>0</v>
      </c>
      <c r="D76" s="110">
        <v>0</v>
      </c>
      <c r="E76" s="110">
        <v>0</v>
      </c>
      <c r="F76" s="110">
        <v>2</v>
      </c>
      <c r="G76" s="110">
        <v>2</v>
      </c>
      <c r="H76" s="110">
        <v>0</v>
      </c>
      <c r="I76" s="110">
        <v>0</v>
      </c>
      <c r="J76" s="110">
        <v>2</v>
      </c>
      <c r="K76" s="111"/>
      <c r="L76" s="111">
        <f t="shared" si="4"/>
        <v>0</v>
      </c>
      <c r="M76" s="110"/>
      <c r="N76" s="112"/>
      <c r="O76" s="111" t="str">
        <f>IF(M76&lt;&gt;"",VLOOKUP(M76,Table1[[Menu Item]:[Complex]],MATCH(N76,'Points Category'!$C$2:$F$2,0)+1,0),"")</f>
        <v/>
      </c>
    </row>
    <row r="77" spans="1:15" x14ac:dyDescent="0.2">
      <c r="A77" s="108" t="s">
        <v>4</v>
      </c>
      <c r="B77" s="109" t="s">
        <v>44</v>
      </c>
      <c r="C77" s="110">
        <v>0</v>
      </c>
      <c r="D77" s="110">
        <v>0</v>
      </c>
      <c r="E77" s="110">
        <v>0</v>
      </c>
      <c r="F77" s="110">
        <v>3</v>
      </c>
      <c r="G77" s="110">
        <v>0</v>
      </c>
      <c r="H77" s="110">
        <v>0</v>
      </c>
      <c r="I77" s="110">
        <v>0</v>
      </c>
      <c r="J77" s="110">
        <v>2</v>
      </c>
      <c r="K77" s="111"/>
      <c r="L77" s="111">
        <f t="shared" si="4"/>
        <v>0</v>
      </c>
      <c r="M77" s="110"/>
      <c r="N77" s="112"/>
      <c r="O77" s="111" t="str">
        <f>IF(M77&lt;&gt;"",VLOOKUP(M77,Table1[[Menu Item]:[Complex]],MATCH(N77,'Points Category'!$C$2:$F$2,0)+1,0),"")</f>
        <v/>
      </c>
    </row>
    <row r="78" spans="1:15" x14ac:dyDescent="0.2">
      <c r="A78" s="108" t="s">
        <v>4</v>
      </c>
      <c r="B78" s="109" t="s">
        <v>49</v>
      </c>
      <c r="C78" s="110">
        <v>0</v>
      </c>
      <c r="D78" s="110">
        <v>0</v>
      </c>
      <c r="E78" s="110">
        <v>0</v>
      </c>
      <c r="F78" s="110">
        <v>0</v>
      </c>
      <c r="G78" s="110">
        <v>0</v>
      </c>
      <c r="H78" s="110">
        <v>1</v>
      </c>
      <c r="I78" s="110">
        <v>0</v>
      </c>
      <c r="J78" s="110">
        <v>0</v>
      </c>
      <c r="K78" s="111"/>
      <c r="L78" s="111">
        <f t="shared" si="4"/>
        <v>0</v>
      </c>
      <c r="M78" s="110"/>
      <c r="N78" s="112"/>
      <c r="O78" s="111" t="str">
        <f>IF(M78&lt;&gt;"",VLOOKUP(M78,Table1[[Menu Item]:[Complex]],MATCH(N78,'Points Category'!$C$2:$F$2,0)+1,0),"")</f>
        <v/>
      </c>
    </row>
    <row r="79" spans="1:15" x14ac:dyDescent="0.2">
      <c r="A79" s="108" t="s">
        <v>4</v>
      </c>
      <c r="B79" s="109" t="s">
        <v>53</v>
      </c>
      <c r="C79" s="110">
        <v>0</v>
      </c>
      <c r="D79" s="110">
        <v>0</v>
      </c>
      <c r="E79" s="110">
        <v>0</v>
      </c>
      <c r="F79" s="126">
        <v>0.2</v>
      </c>
      <c r="G79" s="110">
        <v>0</v>
      </c>
      <c r="H79" s="110">
        <v>0</v>
      </c>
      <c r="I79" s="110">
        <v>0</v>
      </c>
      <c r="J79" s="110">
        <v>0</v>
      </c>
      <c r="K79" s="111"/>
      <c r="L79" s="111">
        <f t="shared" si="4"/>
        <v>0</v>
      </c>
      <c r="M79" s="110"/>
      <c r="N79" s="112"/>
      <c r="O79" s="111" t="str">
        <f>IF(M79&lt;&gt;"",VLOOKUP(M79,Table1[[Menu Item]:[Complex]],MATCH(N79,'Points Category'!$C$2:$F$2,0)+1,0),"")</f>
        <v/>
      </c>
    </row>
    <row r="80" spans="1:15" x14ac:dyDescent="0.2">
      <c r="A80" s="108" t="s">
        <v>171</v>
      </c>
      <c r="B80" s="118" t="s">
        <v>86</v>
      </c>
      <c r="C80" s="110" t="s">
        <v>172</v>
      </c>
      <c r="D80" s="110" t="s">
        <v>172</v>
      </c>
      <c r="E80" s="110" t="s">
        <v>172</v>
      </c>
      <c r="F80" s="110" t="s">
        <v>172</v>
      </c>
      <c r="G80" s="110" t="s">
        <v>172</v>
      </c>
      <c r="H80" s="110" t="s">
        <v>172</v>
      </c>
      <c r="I80" s="110" t="s">
        <v>172</v>
      </c>
      <c r="J80" s="110" t="s">
        <v>172</v>
      </c>
      <c r="K80" s="111">
        <f t="shared" ref="K80:K90" si="5">SUM($E80:$J80)</f>
        <v>0</v>
      </c>
      <c r="L80" s="111">
        <f t="shared" si="4"/>
        <v>0</v>
      </c>
      <c r="M80" s="111" t="s">
        <v>171</v>
      </c>
      <c r="N80" s="117" t="s">
        <v>128</v>
      </c>
      <c r="O80" s="111" t="s">
        <v>175</v>
      </c>
    </row>
    <row r="81" spans="1:15" x14ac:dyDescent="0.2">
      <c r="A81" s="108" t="s">
        <v>171</v>
      </c>
      <c r="B81" s="118" t="s">
        <v>87</v>
      </c>
      <c r="C81" s="110" t="s">
        <v>172</v>
      </c>
      <c r="D81" s="110" t="s">
        <v>172</v>
      </c>
      <c r="E81" s="110" t="s">
        <v>172</v>
      </c>
      <c r="F81" s="110" t="s">
        <v>172</v>
      </c>
      <c r="G81" s="110" t="s">
        <v>172</v>
      </c>
      <c r="H81" s="110" t="s">
        <v>172</v>
      </c>
      <c r="I81" s="110" t="s">
        <v>172</v>
      </c>
      <c r="J81" s="110" t="s">
        <v>172</v>
      </c>
      <c r="K81" s="111">
        <f t="shared" si="5"/>
        <v>0</v>
      </c>
      <c r="L81" s="111">
        <f t="shared" si="4"/>
        <v>0</v>
      </c>
      <c r="M81" s="111" t="s">
        <v>171</v>
      </c>
      <c r="N81" s="117" t="s">
        <v>128</v>
      </c>
      <c r="O81" s="111" t="s">
        <v>175</v>
      </c>
    </row>
    <row r="82" spans="1:15" x14ac:dyDescent="0.2">
      <c r="A82" s="108" t="s">
        <v>171</v>
      </c>
      <c r="B82" s="118" t="s">
        <v>88</v>
      </c>
      <c r="C82" s="110" t="s">
        <v>172</v>
      </c>
      <c r="D82" s="110" t="s">
        <v>172</v>
      </c>
      <c r="E82" s="110" t="s">
        <v>172</v>
      </c>
      <c r="F82" s="110" t="s">
        <v>172</v>
      </c>
      <c r="G82" s="110" t="s">
        <v>172</v>
      </c>
      <c r="H82" s="110" t="s">
        <v>172</v>
      </c>
      <c r="I82" s="110" t="s">
        <v>172</v>
      </c>
      <c r="J82" s="110" t="s">
        <v>172</v>
      </c>
      <c r="K82" s="111">
        <f t="shared" si="5"/>
        <v>0</v>
      </c>
      <c r="L82" s="111">
        <f t="shared" si="4"/>
        <v>0</v>
      </c>
      <c r="M82" s="111" t="s">
        <v>171</v>
      </c>
      <c r="N82" s="117" t="s">
        <v>128</v>
      </c>
      <c r="O82" s="111" t="s">
        <v>175</v>
      </c>
    </row>
    <row r="83" spans="1:15" x14ac:dyDescent="0.2">
      <c r="A83" s="108" t="s">
        <v>171</v>
      </c>
      <c r="B83" s="118" t="s">
        <v>89</v>
      </c>
      <c r="C83" s="110" t="s">
        <v>172</v>
      </c>
      <c r="D83" s="110" t="s">
        <v>172</v>
      </c>
      <c r="E83" s="110" t="s">
        <v>172</v>
      </c>
      <c r="F83" s="110" t="s">
        <v>172</v>
      </c>
      <c r="G83" s="110" t="s">
        <v>172</v>
      </c>
      <c r="H83" s="110" t="s">
        <v>172</v>
      </c>
      <c r="I83" s="110" t="s">
        <v>172</v>
      </c>
      <c r="J83" s="110" t="s">
        <v>172</v>
      </c>
      <c r="K83" s="111">
        <f t="shared" si="5"/>
        <v>0</v>
      </c>
      <c r="L83" s="111">
        <f t="shared" si="4"/>
        <v>0</v>
      </c>
      <c r="M83" s="111" t="s">
        <v>171</v>
      </c>
      <c r="N83" s="117" t="s">
        <v>128</v>
      </c>
      <c r="O83" s="111" t="s">
        <v>175</v>
      </c>
    </row>
    <row r="84" spans="1:15" x14ac:dyDescent="0.2">
      <c r="A84" s="108" t="s">
        <v>171</v>
      </c>
      <c r="B84" s="118" t="s">
        <v>90</v>
      </c>
      <c r="C84" s="110" t="s">
        <v>172</v>
      </c>
      <c r="D84" s="110" t="s">
        <v>172</v>
      </c>
      <c r="E84" s="110" t="s">
        <v>172</v>
      </c>
      <c r="F84" s="110" t="s">
        <v>172</v>
      </c>
      <c r="G84" s="110" t="s">
        <v>172</v>
      </c>
      <c r="H84" s="110" t="s">
        <v>172</v>
      </c>
      <c r="I84" s="110" t="s">
        <v>172</v>
      </c>
      <c r="J84" s="110" t="s">
        <v>172</v>
      </c>
      <c r="K84" s="111">
        <f t="shared" si="5"/>
        <v>0</v>
      </c>
      <c r="L84" s="111">
        <f t="shared" si="4"/>
        <v>0</v>
      </c>
      <c r="M84" s="111" t="s">
        <v>171</v>
      </c>
      <c r="N84" s="117" t="s">
        <v>128</v>
      </c>
      <c r="O84" s="111" t="s">
        <v>175</v>
      </c>
    </row>
    <row r="85" spans="1:15" x14ac:dyDescent="0.2">
      <c r="A85" s="108" t="s">
        <v>171</v>
      </c>
      <c r="B85" s="118" t="s">
        <v>33</v>
      </c>
      <c r="C85" s="110" t="s">
        <v>172</v>
      </c>
      <c r="D85" s="110" t="s">
        <v>172</v>
      </c>
      <c r="E85" s="110" t="s">
        <v>172</v>
      </c>
      <c r="F85" s="110" t="s">
        <v>172</v>
      </c>
      <c r="G85" s="110" t="s">
        <v>172</v>
      </c>
      <c r="H85" s="110" t="s">
        <v>172</v>
      </c>
      <c r="I85" s="113" t="s">
        <v>172</v>
      </c>
      <c r="J85" s="110" t="s">
        <v>172</v>
      </c>
      <c r="K85" s="111">
        <f t="shared" si="5"/>
        <v>0</v>
      </c>
      <c r="L85" s="111">
        <f t="shared" si="4"/>
        <v>0</v>
      </c>
      <c r="M85" s="111" t="s">
        <v>171</v>
      </c>
      <c r="N85" s="117" t="s">
        <v>128</v>
      </c>
      <c r="O85" s="111" t="s">
        <v>175</v>
      </c>
    </row>
    <row r="86" spans="1:15" x14ac:dyDescent="0.2">
      <c r="A86" s="108" t="s">
        <v>171</v>
      </c>
      <c r="B86" s="109" t="s">
        <v>29</v>
      </c>
      <c r="C86" s="110" t="s">
        <v>172</v>
      </c>
      <c r="D86" s="110" t="s">
        <v>172</v>
      </c>
      <c r="E86" s="110" t="s">
        <v>172</v>
      </c>
      <c r="F86" s="110" t="s">
        <v>172</v>
      </c>
      <c r="G86" s="110" t="s">
        <v>172</v>
      </c>
      <c r="H86" s="110" t="s">
        <v>172</v>
      </c>
      <c r="I86" s="113" t="s">
        <v>172</v>
      </c>
      <c r="J86" s="127" t="s">
        <v>172</v>
      </c>
      <c r="K86" s="111">
        <f t="shared" si="5"/>
        <v>0</v>
      </c>
      <c r="L86" s="111">
        <f t="shared" si="4"/>
        <v>0</v>
      </c>
      <c r="M86" s="111" t="s">
        <v>136</v>
      </c>
      <c r="N86" s="117" t="s">
        <v>128</v>
      </c>
      <c r="O86" s="111" t="s">
        <v>175</v>
      </c>
    </row>
    <row r="87" spans="1:15" x14ac:dyDescent="0.2">
      <c r="A87" s="108" t="s">
        <v>171</v>
      </c>
      <c r="B87" s="109" t="s">
        <v>36</v>
      </c>
      <c r="C87" s="110" t="s">
        <v>172</v>
      </c>
      <c r="D87" s="110" t="s">
        <v>172</v>
      </c>
      <c r="E87" s="110" t="s">
        <v>172</v>
      </c>
      <c r="F87" s="110" t="s">
        <v>172</v>
      </c>
      <c r="G87" s="110" t="s">
        <v>172</v>
      </c>
      <c r="H87" s="110" t="s">
        <v>172</v>
      </c>
      <c r="I87" s="113" t="s">
        <v>172</v>
      </c>
      <c r="J87" s="110" t="s">
        <v>172</v>
      </c>
      <c r="K87" s="111">
        <f t="shared" si="5"/>
        <v>0</v>
      </c>
      <c r="L87" s="111">
        <f t="shared" si="4"/>
        <v>0</v>
      </c>
      <c r="M87" s="110" t="s">
        <v>173</v>
      </c>
      <c r="N87" s="117" t="s">
        <v>128</v>
      </c>
      <c r="O87" s="111" t="s">
        <v>175</v>
      </c>
    </row>
    <row r="88" spans="1:15" x14ac:dyDescent="0.2">
      <c r="A88" s="108" t="s">
        <v>171</v>
      </c>
      <c r="B88" s="109" t="s">
        <v>43</v>
      </c>
      <c r="C88" s="110" t="s">
        <v>172</v>
      </c>
      <c r="D88" s="110" t="s">
        <v>172</v>
      </c>
      <c r="E88" s="110" t="s">
        <v>172</v>
      </c>
      <c r="F88" s="110" t="s">
        <v>172</v>
      </c>
      <c r="G88" s="110" t="s">
        <v>172</v>
      </c>
      <c r="H88" s="110" t="s">
        <v>172</v>
      </c>
      <c r="I88" s="113" t="s">
        <v>172</v>
      </c>
      <c r="J88" s="110" t="s">
        <v>172</v>
      </c>
      <c r="K88" s="111">
        <f t="shared" si="5"/>
        <v>0</v>
      </c>
      <c r="L88" s="111">
        <f t="shared" si="4"/>
        <v>0</v>
      </c>
      <c r="M88" s="110" t="s">
        <v>173</v>
      </c>
      <c r="N88" s="117" t="s">
        <v>128</v>
      </c>
      <c r="O88" s="111" t="s">
        <v>175</v>
      </c>
    </row>
    <row r="89" spans="1:15" x14ac:dyDescent="0.2">
      <c r="A89" s="108" t="s">
        <v>171</v>
      </c>
      <c r="B89" s="128" t="s">
        <v>79</v>
      </c>
      <c r="C89" s="110" t="s">
        <v>172</v>
      </c>
      <c r="D89" s="110" t="s">
        <v>172</v>
      </c>
      <c r="E89" s="110" t="s">
        <v>172</v>
      </c>
      <c r="F89" s="110" t="s">
        <v>172</v>
      </c>
      <c r="G89" s="110" t="s">
        <v>172</v>
      </c>
      <c r="H89" s="110" t="s">
        <v>172</v>
      </c>
      <c r="I89" s="110" t="s">
        <v>172</v>
      </c>
      <c r="J89" s="110" t="s">
        <v>172</v>
      </c>
      <c r="K89" s="111">
        <f t="shared" si="5"/>
        <v>0</v>
      </c>
      <c r="L89" s="111">
        <f t="shared" si="4"/>
        <v>0</v>
      </c>
      <c r="M89" s="111" t="s">
        <v>171</v>
      </c>
      <c r="N89" s="117" t="s">
        <v>128</v>
      </c>
      <c r="O89" s="111" t="s">
        <v>175</v>
      </c>
    </row>
    <row r="90" spans="1:15" ht="28.5" x14ac:dyDescent="0.2">
      <c r="A90" s="108" t="s">
        <v>171</v>
      </c>
      <c r="B90" s="129" t="s">
        <v>174</v>
      </c>
      <c r="C90" s="110" t="s">
        <v>172</v>
      </c>
      <c r="D90" s="110" t="s">
        <v>172</v>
      </c>
      <c r="E90" s="110" t="s">
        <v>172</v>
      </c>
      <c r="F90" s="110" t="s">
        <v>172</v>
      </c>
      <c r="G90" s="110" t="s">
        <v>172</v>
      </c>
      <c r="H90" s="110" t="s">
        <v>172</v>
      </c>
      <c r="I90" s="110" t="s">
        <v>172</v>
      </c>
      <c r="J90" s="110" t="s">
        <v>172</v>
      </c>
      <c r="K90" s="111">
        <f t="shared" si="5"/>
        <v>0</v>
      </c>
      <c r="L90" s="111">
        <f t="shared" si="4"/>
        <v>0</v>
      </c>
      <c r="M90" s="111" t="s">
        <v>147</v>
      </c>
      <c r="N90" s="117" t="s">
        <v>128</v>
      </c>
      <c r="O90" s="111" t="s">
        <v>175</v>
      </c>
    </row>
    <row r="91" spans="1:15" x14ac:dyDescent="0.2">
      <c r="A91" s="130" t="s">
        <v>171</v>
      </c>
      <c r="B91" s="131" t="s">
        <v>255</v>
      </c>
      <c r="C91" s="110"/>
      <c r="D91" s="110"/>
      <c r="E91" s="110"/>
      <c r="F91" s="110"/>
      <c r="G91" s="110"/>
      <c r="H91" s="110"/>
      <c r="I91" s="110"/>
      <c r="J91" s="110"/>
      <c r="K91" s="111"/>
      <c r="L91" s="111">
        <f t="shared" si="4"/>
        <v>0</v>
      </c>
      <c r="M91" s="110" t="s">
        <v>164</v>
      </c>
      <c r="N91" s="117" t="s">
        <v>128</v>
      </c>
      <c r="O91" s="111" t="s">
        <v>175</v>
      </c>
    </row>
    <row r="92" spans="1:15" x14ac:dyDescent="0.2">
      <c r="A92" s="130" t="s">
        <v>171</v>
      </c>
      <c r="B92" s="145" t="s">
        <v>4</v>
      </c>
      <c r="C92" s="110"/>
      <c r="D92" s="110"/>
      <c r="E92" s="110"/>
      <c r="F92" s="110"/>
      <c r="G92" s="110"/>
      <c r="H92" s="110"/>
      <c r="I92" s="110"/>
      <c r="J92" s="110"/>
      <c r="K92" s="111"/>
      <c r="L92" s="111">
        <f t="shared" si="4"/>
        <v>0</v>
      </c>
      <c r="M92" s="110" t="s">
        <v>186</v>
      </c>
      <c r="N92" s="117" t="s">
        <v>128</v>
      </c>
      <c r="O92" s="111" t="s">
        <v>175</v>
      </c>
    </row>
    <row r="93" spans="1:15" x14ac:dyDescent="0.2">
      <c r="A93" s="130" t="s">
        <v>171</v>
      </c>
      <c r="B93" s="109" t="s">
        <v>38</v>
      </c>
      <c r="C93" s="110"/>
      <c r="D93" s="110"/>
      <c r="E93" s="110">
        <v>0</v>
      </c>
      <c r="F93" s="110">
        <v>0</v>
      </c>
      <c r="G93" s="110"/>
      <c r="H93" s="110">
        <v>0</v>
      </c>
      <c r="I93" s="110">
        <v>0</v>
      </c>
      <c r="J93" s="110">
        <v>0</v>
      </c>
      <c r="K93" s="111">
        <f>SUM($E93:$J93)</f>
        <v>0</v>
      </c>
      <c r="L93" s="111">
        <f t="shared" si="4"/>
        <v>0</v>
      </c>
      <c r="M93" s="110" t="s">
        <v>165</v>
      </c>
      <c r="N93" s="112" t="s">
        <v>128</v>
      </c>
      <c r="O93" s="111" t="s">
        <v>175</v>
      </c>
    </row>
    <row r="94" spans="1:15" x14ac:dyDescent="0.2">
      <c r="A94" s="132" t="s">
        <v>5</v>
      </c>
      <c r="B94" s="133" t="s">
        <v>15</v>
      </c>
      <c r="C94" s="134">
        <v>1</v>
      </c>
      <c r="D94" s="134"/>
      <c r="E94" s="134">
        <v>0</v>
      </c>
      <c r="F94" s="134">
        <v>0</v>
      </c>
      <c r="G94" s="134">
        <v>0</v>
      </c>
      <c r="H94" s="134">
        <v>0</v>
      </c>
      <c r="I94" s="134">
        <v>0</v>
      </c>
      <c r="J94" s="134">
        <v>0</v>
      </c>
      <c r="K94" s="135">
        <f>SUM($E94:$J94)</f>
        <v>0</v>
      </c>
      <c r="L94" s="111">
        <f t="shared" si="4"/>
        <v>0</v>
      </c>
      <c r="M94" s="134" t="s">
        <v>161</v>
      </c>
      <c r="N94" s="117" t="s">
        <v>126</v>
      </c>
      <c r="O94" s="111">
        <f>IF(M94&lt;&gt;"",VLOOKUP(M94,Table1[[Menu Item]:[Complex]],MATCH(N94,'Points Category'!$C$2:$F$2,0)+1,0),"")</f>
        <v>1</v>
      </c>
    </row>
    <row r="95" spans="1:15" x14ac:dyDescent="0.2">
      <c r="A95" s="132" t="s">
        <v>5</v>
      </c>
      <c r="B95" s="133" t="s">
        <v>24</v>
      </c>
      <c r="C95" s="134">
        <v>1</v>
      </c>
      <c r="D95" s="134"/>
      <c r="E95" s="134">
        <v>0</v>
      </c>
      <c r="F95" s="134">
        <v>0</v>
      </c>
      <c r="G95" s="134">
        <v>0</v>
      </c>
      <c r="H95" s="134">
        <v>0</v>
      </c>
      <c r="I95" s="134">
        <v>0</v>
      </c>
      <c r="J95" s="134">
        <v>0</v>
      </c>
      <c r="K95" s="135">
        <f>SUM($E95:$J95)</f>
        <v>0</v>
      </c>
      <c r="L95" s="111">
        <f t="shared" si="4"/>
        <v>0</v>
      </c>
      <c r="M95" s="134" t="s">
        <v>161</v>
      </c>
      <c r="N95" s="117" t="s">
        <v>126</v>
      </c>
      <c r="O95" s="111">
        <f>IF(M95&lt;&gt;"",VLOOKUP(M95,Table1[[Menu Item]:[Complex]],MATCH(N95,'Points Category'!$C$2:$F$2,0)+1,0),"")</f>
        <v>1</v>
      </c>
    </row>
    <row r="96" spans="1:15" x14ac:dyDescent="0.2">
      <c r="A96" s="108" t="s">
        <v>162</v>
      </c>
      <c r="B96" s="109" t="s">
        <v>16</v>
      </c>
      <c r="C96" s="110"/>
      <c r="D96" s="110"/>
      <c r="E96" s="110">
        <v>0</v>
      </c>
      <c r="F96" s="110">
        <v>0</v>
      </c>
      <c r="G96" s="110">
        <v>8</v>
      </c>
      <c r="H96" s="110">
        <v>4</v>
      </c>
      <c r="I96" s="110">
        <v>0</v>
      </c>
      <c r="J96" s="110">
        <v>0</v>
      </c>
      <c r="K96" s="111">
        <f>SUM($E96:$J96) * IF(N96 = "Simple",1,IF(N96="Standard",2,0))</f>
        <v>12</v>
      </c>
      <c r="L96" s="111">
        <f t="shared" si="4"/>
        <v>15</v>
      </c>
      <c r="M96" s="110" t="s">
        <v>163</v>
      </c>
      <c r="N96" s="112" t="s">
        <v>126</v>
      </c>
      <c r="O96" s="111">
        <f>IF(M96&lt;&gt;"",VLOOKUP(M96,Table1[[Menu Item]:[Complex]],MATCH(N96,'Points Category'!$C$2:$F$2,0)+1,0),"")</f>
        <v>4</v>
      </c>
    </row>
    <row r="97" spans="1:15" x14ac:dyDescent="0.2">
      <c r="A97" s="108" t="s">
        <v>162</v>
      </c>
      <c r="B97" s="136" t="s">
        <v>241</v>
      </c>
      <c r="C97" s="137">
        <v>0</v>
      </c>
      <c r="D97" s="137">
        <v>0</v>
      </c>
      <c r="E97" s="137">
        <v>0</v>
      </c>
      <c r="F97" s="137">
        <v>0</v>
      </c>
      <c r="G97" s="137">
        <v>1</v>
      </c>
      <c r="H97" s="137">
        <v>0.5</v>
      </c>
      <c r="I97" s="137">
        <v>0</v>
      </c>
      <c r="J97" s="137">
        <v>0</v>
      </c>
      <c r="K97" s="111">
        <f>SUM($E97:$J97)</f>
        <v>1.5</v>
      </c>
      <c r="L97" s="111">
        <f t="shared" si="4"/>
        <v>2</v>
      </c>
      <c r="M97" s="110" t="s">
        <v>164</v>
      </c>
      <c r="N97" s="112" t="s">
        <v>126</v>
      </c>
      <c r="O97" s="111">
        <f>IF(M97&lt;&gt;"",VLOOKUP(M97,Table1[[Menu Item]:[Complex]],MATCH(N97,'Points Category'!$C$2:$F$2,0)+1,0),"")</f>
        <v>2</v>
      </c>
    </row>
    <row r="98" spans="1:15" x14ac:dyDescent="0.2">
      <c r="A98" s="108" t="s">
        <v>162</v>
      </c>
      <c r="B98" s="131" t="s">
        <v>254</v>
      </c>
      <c r="C98" s="110"/>
      <c r="D98" s="110"/>
      <c r="E98" s="110">
        <v>0</v>
      </c>
      <c r="F98" s="110">
        <v>0</v>
      </c>
      <c r="G98" s="110">
        <v>4</v>
      </c>
      <c r="H98" s="110">
        <v>0.5</v>
      </c>
      <c r="I98" s="110">
        <v>0</v>
      </c>
      <c r="J98" s="110">
        <v>0</v>
      </c>
      <c r="K98" s="111">
        <f>SUM($E98:$J98) * IF(N98 = "Simple",1,IF(N98="Standard",2,0))</f>
        <v>9</v>
      </c>
      <c r="L98" s="111">
        <f t="shared" si="4"/>
        <v>11</v>
      </c>
      <c r="M98" s="110" t="s">
        <v>164</v>
      </c>
      <c r="N98" s="112" t="s">
        <v>127</v>
      </c>
      <c r="O98" s="111">
        <f>IF(M98&lt;&gt;"",VLOOKUP(M98,Table1[[Menu Item]:[Complex]],MATCH(N98,'Points Category'!$C$2:$F$2,0)+1,0),"")</f>
        <v>4</v>
      </c>
    </row>
    <row r="99" spans="1:15" x14ac:dyDescent="0.2">
      <c r="A99" s="108" t="s">
        <v>162</v>
      </c>
      <c r="B99" s="109" t="s">
        <v>31</v>
      </c>
      <c r="C99" s="110"/>
      <c r="D99" s="110"/>
      <c r="E99" s="110">
        <v>0</v>
      </c>
      <c r="F99" s="110">
        <v>0</v>
      </c>
      <c r="G99" s="110">
        <v>24</v>
      </c>
      <c r="H99" s="110">
        <v>16</v>
      </c>
      <c r="I99" s="110">
        <v>0</v>
      </c>
      <c r="J99" s="110">
        <v>0</v>
      </c>
      <c r="K99" s="111">
        <f>SUM($E99:$J99)</f>
        <v>40</v>
      </c>
      <c r="L99" s="111">
        <f t="shared" si="4"/>
        <v>48</v>
      </c>
      <c r="M99" s="110" t="s">
        <v>165</v>
      </c>
      <c r="N99" s="112" t="s">
        <v>126</v>
      </c>
      <c r="O99" s="111">
        <f>IF(M99&lt;&gt;"",VLOOKUP(M99,Table1[[Menu Item]:[Complex]],MATCH(N99,'Points Category'!$C$2:$F$2,0)+1,0),"")</f>
        <v>10</v>
      </c>
    </row>
    <row r="100" spans="1:15" x14ac:dyDescent="0.2">
      <c r="A100" s="108" t="s">
        <v>162</v>
      </c>
      <c r="B100" s="138" t="s">
        <v>45</v>
      </c>
      <c r="C100" s="110"/>
      <c r="D100" s="110"/>
      <c r="E100" s="110">
        <v>0</v>
      </c>
      <c r="F100" s="110">
        <v>0</v>
      </c>
      <c r="G100" s="113">
        <v>0</v>
      </c>
      <c r="H100" s="110">
        <v>0</v>
      </c>
      <c r="I100" s="110">
        <v>0</v>
      </c>
      <c r="J100" s="110">
        <v>0</v>
      </c>
      <c r="K100" s="111">
        <f>SUM($E100:$J100)</f>
        <v>0</v>
      </c>
      <c r="L100" s="111">
        <f t="shared" si="4"/>
        <v>0</v>
      </c>
      <c r="M100" s="110" t="s">
        <v>166</v>
      </c>
      <c r="N100" s="112" t="s">
        <v>126</v>
      </c>
      <c r="O100" s="111">
        <f>IF(M100&lt;&gt;"",VLOOKUP(M100,Table1[[Menu Item]:[Complex]],MATCH(N100,'Points Category'!$C$2:$F$2,0)+1,0),"")</f>
        <v>3</v>
      </c>
    </row>
  </sheetData>
  <sheetProtection algorithmName="SHA-512" hashValue="r+qod4HVYguTAK3Iu8hoUmbqhdsjRe5ABY3rfHvPCW2t0WStvV6mNDLIE04PSYO4+JxKkDag/EnKDMtvTABAfg==" saltValue="LFVcmHYvR+X+LSZgQQotwA==" spinCount="100000" sheet="1" objects="1" scenarios="1"/>
  <sortState xmlns:xlrd2="http://schemas.microsoft.com/office/spreadsheetml/2017/richdata2" ref="A3:O100">
    <sortCondition ref="A3:A100"/>
  </sortState>
  <mergeCells count="1">
    <mergeCell ref="C1:J1"/>
  </mergeCells>
  <dataValidations disablePrompts="1" count="1">
    <dataValidation type="list" allowBlank="1" showInputMessage="1" showErrorMessage="1" sqref="N3:N100" xr:uid="{86A8ABD7-7C02-4E19-B992-4E23C85E3593}">
      <formula1>Complexity</formula1>
    </dataValidation>
  </dataValidations>
  <pageMargins left="0.7" right="0.7" top="0.75" bottom="0.75" header="0.3" footer="0.3"/>
  <pageSetup orientation="portrait" horizontalDpi="4294967293" verticalDpi="4294967293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55A9F580-538C-4BAF-B1B8-1EDB06877D3C}">
          <x14:formula1>
            <xm:f>'Points Category'!$B$3:$B$49</xm:f>
          </x14:formula1>
          <xm:sqref>M3:M79 M86:M88 M90:M100</xm:sqref>
        </x14:dataValidation>
        <x14:dataValidation type="list" allowBlank="1" showInputMessage="1" showErrorMessage="1" xr:uid="{AAF57C68-C6E8-497C-89EE-278EDB637B28}">
          <x14:formula1>
            <xm:f>'Points Category'!$B$3:$B$50</xm:f>
          </x14:formula1>
          <xm:sqref>M80:M85 M89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1B7F3-5955-4234-89D1-60B5083DBBC7}">
  <sheetPr codeName="Sheet5"/>
  <dimension ref="A1:C49"/>
  <sheetViews>
    <sheetView topLeftCell="A2" workbookViewId="0">
      <selection activeCell="C3" sqref="C3"/>
    </sheetView>
  </sheetViews>
  <sheetFormatPr defaultRowHeight="12.75" x14ac:dyDescent="0.2"/>
  <cols>
    <col min="1" max="1" width="27" bestFit="1" customWidth="1"/>
    <col min="2" max="2" width="42.28515625" bestFit="1" customWidth="1"/>
    <col min="3" max="3" width="45.140625" customWidth="1"/>
  </cols>
  <sheetData>
    <row r="1" spans="1:3" ht="15" x14ac:dyDescent="0.25">
      <c r="A1" s="257" t="s">
        <v>176</v>
      </c>
      <c r="B1" s="257"/>
      <c r="C1" s="257"/>
    </row>
    <row r="2" spans="1:3" ht="15" x14ac:dyDescent="0.25">
      <c r="A2" s="6" t="s">
        <v>177</v>
      </c>
      <c r="B2" s="6" t="s">
        <v>178</v>
      </c>
      <c r="C2" s="6" t="s">
        <v>107</v>
      </c>
    </row>
    <row r="3" spans="1:3" ht="166.5" x14ac:dyDescent="0.2">
      <c r="A3" s="16" t="s">
        <v>112</v>
      </c>
      <c r="B3" s="12" t="s">
        <v>125</v>
      </c>
      <c r="C3" s="13" t="s">
        <v>203</v>
      </c>
    </row>
    <row r="4" spans="1:3" ht="166.5" x14ac:dyDescent="0.2">
      <c r="A4" s="16" t="s">
        <v>112</v>
      </c>
      <c r="B4" s="13" t="s">
        <v>129</v>
      </c>
      <c r="C4" s="13" t="s">
        <v>204</v>
      </c>
    </row>
    <row r="5" spans="1:3" ht="96" x14ac:dyDescent="0.2">
      <c r="A5" s="16" t="s">
        <v>138</v>
      </c>
      <c r="B5" s="13" t="s">
        <v>139</v>
      </c>
      <c r="C5" s="14" t="s">
        <v>205</v>
      </c>
    </row>
    <row r="6" spans="1:3" ht="96" x14ac:dyDescent="0.2">
      <c r="A6" s="16" t="s">
        <v>138</v>
      </c>
      <c r="B6" s="13" t="s">
        <v>140</v>
      </c>
      <c r="C6" s="14" t="s">
        <v>205</v>
      </c>
    </row>
    <row r="7" spans="1:3" ht="96" x14ac:dyDescent="0.2">
      <c r="A7" s="16" t="s">
        <v>138</v>
      </c>
      <c r="B7" s="13" t="s">
        <v>141</v>
      </c>
      <c r="C7" s="14" t="s">
        <v>205</v>
      </c>
    </row>
    <row r="8" spans="1:3" ht="96" x14ac:dyDescent="0.2">
      <c r="A8" s="16" t="s">
        <v>138</v>
      </c>
      <c r="B8" s="13" t="s">
        <v>142</v>
      </c>
      <c r="C8" s="14" t="s">
        <v>205</v>
      </c>
    </row>
    <row r="9" spans="1:3" ht="96" x14ac:dyDescent="0.2">
      <c r="A9" s="16" t="s">
        <v>138</v>
      </c>
      <c r="B9" s="13" t="s">
        <v>191</v>
      </c>
      <c r="C9" s="14" t="s">
        <v>205</v>
      </c>
    </row>
    <row r="10" spans="1:3" ht="70.5" x14ac:dyDescent="0.2">
      <c r="A10" s="16" t="s">
        <v>138</v>
      </c>
      <c r="B10" s="13" t="s">
        <v>192</v>
      </c>
      <c r="C10" s="13" t="s">
        <v>206</v>
      </c>
    </row>
    <row r="11" spans="1:3" ht="14.25" x14ac:dyDescent="0.2">
      <c r="A11" s="16" t="s">
        <v>138</v>
      </c>
      <c r="B11" s="13" t="s">
        <v>189</v>
      </c>
      <c r="C11" s="12"/>
    </row>
    <row r="12" spans="1:3" ht="14.25" x14ac:dyDescent="0.2">
      <c r="A12" s="16" t="s">
        <v>112</v>
      </c>
      <c r="B12" s="13" t="s">
        <v>131</v>
      </c>
      <c r="C12" s="12" t="s">
        <v>207</v>
      </c>
    </row>
    <row r="13" spans="1:3" ht="25.5" x14ac:dyDescent="0.2">
      <c r="A13" s="17" t="s">
        <v>138</v>
      </c>
      <c r="B13" s="8" t="s">
        <v>130</v>
      </c>
      <c r="C13" s="8" t="s">
        <v>208</v>
      </c>
    </row>
    <row r="14" spans="1:3" ht="70.5" x14ac:dyDescent="0.2">
      <c r="A14" s="16" t="s">
        <v>138</v>
      </c>
      <c r="B14" s="8" t="s">
        <v>143</v>
      </c>
      <c r="C14" s="8" t="s">
        <v>209</v>
      </c>
    </row>
    <row r="15" spans="1:3" ht="25.5" x14ac:dyDescent="0.2">
      <c r="A15" s="16" t="s">
        <v>112</v>
      </c>
      <c r="B15" s="13" t="s">
        <v>145</v>
      </c>
      <c r="C15" s="8" t="s">
        <v>210</v>
      </c>
    </row>
    <row r="16" spans="1:3" ht="96" x14ac:dyDescent="0.2">
      <c r="A16" s="16" t="s">
        <v>138</v>
      </c>
      <c r="B16" s="8" t="s">
        <v>151</v>
      </c>
      <c r="C16" s="8" t="s">
        <v>211</v>
      </c>
    </row>
    <row r="17" spans="1:3" ht="70.5" x14ac:dyDescent="0.2">
      <c r="A17" s="16" t="s">
        <v>112</v>
      </c>
      <c r="B17" s="13" t="s">
        <v>147</v>
      </c>
      <c r="C17" s="26" t="s">
        <v>212</v>
      </c>
    </row>
    <row r="18" spans="1:3" ht="14.25" x14ac:dyDescent="0.2">
      <c r="A18" s="16" t="s">
        <v>112</v>
      </c>
      <c r="B18" s="13" t="s">
        <v>67</v>
      </c>
      <c r="C18" s="12" t="s">
        <v>213</v>
      </c>
    </row>
    <row r="19" spans="1:3" ht="45" x14ac:dyDescent="0.25">
      <c r="A19" s="16" t="s">
        <v>138</v>
      </c>
      <c r="B19" s="13" t="s">
        <v>154</v>
      </c>
      <c r="C19" s="18" t="s">
        <v>214</v>
      </c>
    </row>
    <row r="20" spans="1:3" ht="83.25" x14ac:dyDescent="0.2">
      <c r="A20" s="16" t="s">
        <v>162</v>
      </c>
      <c r="B20" s="9" t="s">
        <v>163</v>
      </c>
      <c r="C20" s="8" t="s">
        <v>215</v>
      </c>
    </row>
    <row r="21" spans="1:3" ht="83.25" x14ac:dyDescent="0.2">
      <c r="A21" s="16" t="s">
        <v>162</v>
      </c>
      <c r="B21" s="9" t="s">
        <v>165</v>
      </c>
      <c r="C21" s="8" t="s">
        <v>216</v>
      </c>
    </row>
    <row r="22" spans="1:3" ht="83.25" x14ac:dyDescent="0.2">
      <c r="A22" s="16" t="s">
        <v>162</v>
      </c>
      <c r="B22" s="9" t="s">
        <v>164</v>
      </c>
      <c r="C22" s="8" t="s">
        <v>217</v>
      </c>
    </row>
    <row r="23" spans="1:3" ht="83.25" x14ac:dyDescent="0.2">
      <c r="A23" s="16" t="s">
        <v>162</v>
      </c>
      <c r="B23" s="9" t="s">
        <v>166</v>
      </c>
      <c r="C23" s="8" t="s">
        <v>218</v>
      </c>
    </row>
    <row r="24" spans="1:3" ht="14.25" x14ac:dyDescent="0.2">
      <c r="A24" s="27" t="s">
        <v>134</v>
      </c>
      <c r="B24" s="8" t="s">
        <v>135</v>
      </c>
      <c r="C24" s="9" t="s">
        <v>219</v>
      </c>
    </row>
    <row r="25" spans="1:3" ht="14.25" x14ac:dyDescent="0.2">
      <c r="A25" s="27" t="s">
        <v>134</v>
      </c>
      <c r="B25" s="8" t="s">
        <v>136</v>
      </c>
      <c r="C25" s="9" t="s">
        <v>219</v>
      </c>
    </row>
    <row r="26" spans="1:3" ht="14.25" x14ac:dyDescent="0.2">
      <c r="A26" s="27" t="s">
        <v>134</v>
      </c>
      <c r="B26" s="8" t="s">
        <v>137</v>
      </c>
      <c r="C26" s="9" t="s">
        <v>220</v>
      </c>
    </row>
    <row r="27" spans="1:3" ht="14.25" x14ac:dyDescent="0.2">
      <c r="A27" s="27" t="s">
        <v>155</v>
      </c>
      <c r="B27" s="9" t="s">
        <v>156</v>
      </c>
      <c r="C27" s="9" t="s">
        <v>221</v>
      </c>
    </row>
    <row r="28" spans="1:3" ht="14.25" x14ac:dyDescent="0.2">
      <c r="A28" s="27" t="s">
        <v>155</v>
      </c>
      <c r="B28" s="9" t="s">
        <v>159</v>
      </c>
      <c r="C28" s="9" t="s">
        <v>222</v>
      </c>
    </row>
    <row r="29" spans="1:3" ht="14.25" x14ac:dyDescent="0.2">
      <c r="A29" s="27" t="s">
        <v>155</v>
      </c>
      <c r="B29" s="9" t="s">
        <v>160</v>
      </c>
      <c r="C29" s="9" t="s">
        <v>223</v>
      </c>
    </row>
    <row r="30" spans="1:3" ht="14.25" x14ac:dyDescent="0.2">
      <c r="A30" s="27" t="s">
        <v>155</v>
      </c>
      <c r="B30" s="9" t="s">
        <v>158</v>
      </c>
      <c r="C30" s="9" t="s">
        <v>224</v>
      </c>
    </row>
    <row r="31" spans="1:3" ht="14.25" x14ac:dyDescent="0.2">
      <c r="A31" s="27" t="s">
        <v>155</v>
      </c>
      <c r="B31" s="9" t="s">
        <v>157</v>
      </c>
      <c r="C31" s="9" t="s">
        <v>225</v>
      </c>
    </row>
    <row r="32" spans="1:3" ht="14.25" x14ac:dyDescent="0.2">
      <c r="A32" s="27" t="s">
        <v>155</v>
      </c>
      <c r="B32" s="9" t="s">
        <v>193</v>
      </c>
      <c r="C32" s="9" t="s">
        <v>226</v>
      </c>
    </row>
    <row r="33" spans="1:3" ht="14.25" x14ac:dyDescent="0.2">
      <c r="A33" s="27" t="s">
        <v>188</v>
      </c>
      <c r="B33" s="9" t="s">
        <v>168</v>
      </c>
      <c r="C33" s="9" t="s">
        <v>227</v>
      </c>
    </row>
    <row r="34" spans="1:3" x14ac:dyDescent="0.2">
      <c r="A34" s="17" t="s">
        <v>5</v>
      </c>
      <c r="B34" s="9" t="s">
        <v>199</v>
      </c>
      <c r="C34" s="9" t="s">
        <v>228</v>
      </c>
    </row>
    <row r="35" spans="1:3" x14ac:dyDescent="0.2">
      <c r="A35" s="17" t="s">
        <v>5</v>
      </c>
      <c r="B35" s="9" t="s">
        <v>161</v>
      </c>
      <c r="C35" s="9" t="s">
        <v>229</v>
      </c>
    </row>
    <row r="36" spans="1:3" x14ac:dyDescent="0.2">
      <c r="A36" s="17" t="s">
        <v>162</v>
      </c>
      <c r="B36" s="9" t="s">
        <v>200</v>
      </c>
      <c r="C36" s="9" t="s">
        <v>230</v>
      </c>
    </row>
    <row r="37" spans="1:3" x14ac:dyDescent="0.2">
      <c r="A37" s="17" t="s">
        <v>185</v>
      </c>
      <c r="B37" s="9" t="s">
        <v>187</v>
      </c>
      <c r="C37" s="9" t="s">
        <v>231</v>
      </c>
    </row>
    <row r="38" spans="1:3" x14ac:dyDescent="0.2">
      <c r="A38" s="17" t="s">
        <v>185</v>
      </c>
      <c r="B38" s="9" t="s">
        <v>186</v>
      </c>
      <c r="C38" s="9" t="s">
        <v>231</v>
      </c>
    </row>
    <row r="39" spans="1:3" x14ac:dyDescent="0.2">
      <c r="A39" s="17" t="s">
        <v>179</v>
      </c>
      <c r="B39" s="9" t="s">
        <v>180</v>
      </c>
      <c r="C39" s="9"/>
    </row>
    <row r="40" spans="1:3" x14ac:dyDescent="0.2">
      <c r="A40" s="17" t="s">
        <v>179</v>
      </c>
      <c r="B40" s="9" t="s">
        <v>182</v>
      </c>
      <c r="C40" s="9"/>
    </row>
    <row r="41" spans="1:3" x14ac:dyDescent="0.2">
      <c r="A41" s="17" t="s">
        <v>179</v>
      </c>
      <c r="B41" s="9" t="s">
        <v>184</v>
      </c>
      <c r="C41" s="9"/>
    </row>
    <row r="42" spans="1:3" x14ac:dyDescent="0.2">
      <c r="A42" s="17" t="s">
        <v>179</v>
      </c>
      <c r="B42" s="9" t="s">
        <v>183</v>
      </c>
      <c r="C42" s="9"/>
    </row>
    <row r="43" spans="1:3" x14ac:dyDescent="0.2">
      <c r="A43" s="17" t="s">
        <v>194</v>
      </c>
      <c r="B43" s="9" t="s">
        <v>195</v>
      </c>
      <c r="C43" s="9"/>
    </row>
    <row r="44" spans="1:3" x14ac:dyDescent="0.2">
      <c r="A44" s="17" t="s">
        <v>194</v>
      </c>
      <c r="B44" s="9" t="s">
        <v>198</v>
      </c>
      <c r="C44" s="9"/>
    </row>
    <row r="45" spans="1:3" x14ac:dyDescent="0.2">
      <c r="A45" s="17" t="s">
        <v>194</v>
      </c>
      <c r="B45" s="9" t="s">
        <v>133</v>
      </c>
      <c r="C45" s="9"/>
    </row>
    <row r="46" spans="1:3" x14ac:dyDescent="0.2">
      <c r="A46" s="17" t="s">
        <v>194</v>
      </c>
      <c r="B46" s="9" t="s">
        <v>170</v>
      </c>
      <c r="C46" s="9"/>
    </row>
    <row r="47" spans="1:3" x14ac:dyDescent="0.2">
      <c r="A47" s="17" t="s">
        <v>194</v>
      </c>
      <c r="B47" s="9" t="s">
        <v>196</v>
      </c>
      <c r="C47" s="9"/>
    </row>
    <row r="48" spans="1:3" x14ac:dyDescent="0.2">
      <c r="A48" s="17" t="s">
        <v>194</v>
      </c>
      <c r="B48" s="9" t="s">
        <v>197</v>
      </c>
      <c r="C48" s="9"/>
    </row>
    <row r="49" spans="2:2" x14ac:dyDescent="0.2">
      <c r="B49" s="7"/>
    </row>
  </sheetData>
  <sheetProtection algorithmName="SHA-512" hashValue="xP9cwHVCIRVWRaCyLmi/Zxcd/JVuR4ohNtrvDxS1aKsTrTJuNTsJ5qb2ntdL4wUxqeWk6kOHRqdjcGQ2kVFyuQ==" saltValue="h+yy/UEryIUNdOa2jwb5hg==" spinCount="100000" sheet="1" objects="1" scenarios="1"/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EFC3E-491F-4CC8-9224-2AC92BC8C7F1}">
  <sheetPr codeName="Sheet9"/>
  <dimension ref="A1:L16"/>
  <sheetViews>
    <sheetView showGridLines="0" topLeftCell="A2" zoomScale="80" zoomScaleNormal="80" workbookViewId="0">
      <selection activeCell="A2" sqref="A2"/>
    </sheetView>
  </sheetViews>
  <sheetFormatPr defaultColWidth="9.140625" defaultRowHeight="12.75" x14ac:dyDescent="0.2"/>
  <cols>
    <col min="1" max="1" width="2.5703125" style="44" customWidth="1"/>
    <col min="2" max="2" width="13" style="150" customWidth="1"/>
    <col min="3" max="3" width="28.42578125" style="150" bestFit="1" customWidth="1"/>
    <col min="4" max="4" width="53" style="150" bestFit="1" customWidth="1"/>
    <col min="5" max="5" width="51.28515625" style="172" bestFit="1" customWidth="1"/>
    <col min="6" max="6" width="18.42578125" style="172" bestFit="1" customWidth="1"/>
    <col min="7" max="7" width="21.5703125" style="223" bestFit="1" customWidth="1"/>
    <col min="8" max="8" width="51.42578125" style="172" bestFit="1" customWidth="1"/>
    <col min="9" max="9" width="20.28515625" style="172" bestFit="1" customWidth="1"/>
    <col min="10" max="10" width="12.85546875" style="238" bestFit="1" customWidth="1"/>
    <col min="11" max="11" width="109.5703125" style="170" bestFit="1" customWidth="1"/>
    <col min="12" max="12" width="10" style="45" hidden="1" customWidth="1"/>
    <col min="13" max="16384" width="9.140625" style="45"/>
  </cols>
  <sheetData>
    <row r="1" spans="1:12" ht="2.25" customHeight="1" x14ac:dyDescent="0.2"/>
    <row r="2" spans="1:12" ht="18" customHeight="1" x14ac:dyDescent="0.2">
      <c r="A2" s="44" t="s">
        <v>91</v>
      </c>
      <c r="B2" s="156" t="s">
        <v>298</v>
      </c>
      <c r="C2" s="211" t="s">
        <v>299</v>
      </c>
      <c r="D2" s="212" t="s">
        <v>300</v>
      </c>
      <c r="E2" s="229" t="s">
        <v>308</v>
      </c>
      <c r="F2" s="57" t="s">
        <v>293</v>
      </c>
      <c r="G2" s="224"/>
      <c r="H2" s="173"/>
    </row>
    <row r="3" spans="1:12" ht="17.100000000000001" customHeight="1" x14ac:dyDescent="0.2">
      <c r="F3" s="57" t="s">
        <v>100</v>
      </c>
      <c r="G3" s="224"/>
      <c r="H3" s="173"/>
      <c r="I3" s="152"/>
    </row>
    <row r="4" spans="1:12" ht="17.100000000000001" customHeight="1" x14ac:dyDescent="0.2">
      <c r="B4" s="151"/>
      <c r="C4" s="151"/>
      <c r="D4" s="151"/>
      <c r="E4" s="152"/>
      <c r="F4" s="152"/>
      <c r="G4" s="225"/>
      <c r="H4" s="152"/>
      <c r="I4" s="152"/>
      <c r="J4" s="164">
        <f>SUBTOTAL(9,Table2575[Total Points])</f>
        <v>0</v>
      </c>
      <c r="K4" s="177"/>
    </row>
    <row r="5" spans="1:12" ht="15" customHeight="1" x14ac:dyDescent="0.2">
      <c r="A5" s="44" t="s">
        <v>103</v>
      </c>
      <c r="B5" s="219" t="s">
        <v>104</v>
      </c>
      <c r="C5" s="237" t="s">
        <v>105</v>
      </c>
      <c r="D5" s="237" t="s">
        <v>297</v>
      </c>
      <c r="E5" s="227" t="s">
        <v>256</v>
      </c>
      <c r="F5" s="227" t="s">
        <v>177</v>
      </c>
      <c r="G5" s="228" t="s">
        <v>290</v>
      </c>
      <c r="H5" s="219" t="s">
        <v>288</v>
      </c>
      <c r="I5" s="219" t="s">
        <v>295</v>
      </c>
      <c r="J5" s="227" t="s">
        <v>289</v>
      </c>
      <c r="K5" s="232" t="s">
        <v>291</v>
      </c>
      <c r="L5" s="215" t="s">
        <v>296</v>
      </c>
    </row>
    <row r="6" spans="1:12" x14ac:dyDescent="0.2">
      <c r="A6" s="61"/>
      <c r="B6" s="221"/>
      <c r="C6" s="221"/>
      <c r="D6" s="221"/>
      <c r="E6" s="230" t="str">
        <f>IFERROR(VLOOKUP(Table2575[[#This Row],[Item]],Items!$B$2:$O$100,12,FALSE),"")</f>
        <v/>
      </c>
      <c r="F6" s="230" t="str">
        <f>IFERROR(VLOOKUP(Table2575[[#This Row],[Item]],Items!$B$2:$O$100,13,FALSE),"")</f>
        <v/>
      </c>
      <c r="G6" s="231" t="str">
        <f>IFERROR(VLOOKUP(Table2575[[#This Row],[Item]],Items!$B$2:$O$100,14,FALSE),"")</f>
        <v/>
      </c>
      <c r="H6" s="209"/>
      <c r="I6" s="209"/>
      <c r="J6" s="239" t="str">
        <f>IFERROR(Table2575[[#This Row],[Qty]]*Table2575[[#This Row],[point(s) per quantity]],"")</f>
        <v/>
      </c>
      <c r="K6" s="203"/>
      <c r="L6" s="216">
        <v>20</v>
      </c>
    </row>
    <row r="7" spans="1:12" x14ac:dyDescent="0.2">
      <c r="A7" s="61"/>
      <c r="B7" s="221"/>
      <c r="C7" s="221"/>
      <c r="D7" s="221"/>
      <c r="E7" s="230" t="str">
        <f>IFERROR(VLOOKUP(Table2575[[#This Row],[Item]],Items!$B$2:$O$100,12,FALSE),"")</f>
        <v/>
      </c>
      <c r="F7" s="230" t="str">
        <f>IFERROR(VLOOKUP(Table2575[[#This Row],[Item]],Items!$B$2:$O$100,13,FALSE),"")</f>
        <v/>
      </c>
      <c r="G7" s="231" t="str">
        <f>IFERROR(VLOOKUP(Table2575[[#This Row],[Item]],Items!$B$2:$O$100,14,FALSE),"")</f>
        <v/>
      </c>
      <c r="H7" s="209"/>
      <c r="I7" s="220"/>
      <c r="J7" s="239" t="str">
        <f>IFERROR(Table2575[[#This Row],[Qty]]*Table2575[[#This Row],[point(s) per quantity]],"")</f>
        <v/>
      </c>
      <c r="K7" s="203"/>
      <c r="L7" s="197"/>
    </row>
    <row r="8" spans="1:12" x14ac:dyDescent="0.2">
      <c r="A8" s="61"/>
      <c r="B8" s="221"/>
      <c r="C8" s="221"/>
      <c r="D8" s="221"/>
      <c r="E8" s="230" t="str">
        <f>IFERROR(VLOOKUP(Table2575[[#This Row],[Item]],Items!$B$2:$M$100,12,FALSE),"")</f>
        <v/>
      </c>
      <c r="F8" s="230" t="str">
        <f>IFERROR(VLOOKUP(Table2575[[#This Row],[Item]],Items!$B$2:$O$100,13,FALSE),"")</f>
        <v/>
      </c>
      <c r="G8" s="231" t="str">
        <f>IFERROR(VLOOKUP(Table2575[[#This Row],[Item]],Items!$B$2:$O$100,14,FALSE),"")</f>
        <v/>
      </c>
      <c r="H8" s="209"/>
      <c r="I8" s="209"/>
      <c r="J8" s="239" t="str">
        <f>IFERROR(Table2575[[#This Row],[Qty]]*Table2575[[#This Row],[point(s) per quantity]],"")</f>
        <v/>
      </c>
      <c r="K8" s="203"/>
      <c r="L8" s="197"/>
    </row>
    <row r="9" spans="1:12" x14ac:dyDescent="0.2">
      <c r="A9" s="61"/>
      <c r="B9" s="221"/>
      <c r="C9" s="221"/>
      <c r="D9" s="221"/>
      <c r="E9" s="230" t="str">
        <f>IFERROR(VLOOKUP(Table2575[[#This Row],[Item]],Items!$B$2:$M$100,12,FALSE),"")</f>
        <v/>
      </c>
      <c r="F9" s="230" t="str">
        <f>IFERROR(VLOOKUP(Table2575[[#This Row],[Item]],Items!$B$2:$O$100,13,FALSE),"")</f>
        <v/>
      </c>
      <c r="G9" s="231" t="str">
        <f>IFERROR(VLOOKUP(Table2575[[#This Row],[Item]],Items!$B$2:$O$100,14,FALSE),"")</f>
        <v/>
      </c>
      <c r="H9" s="209"/>
      <c r="I9" s="209"/>
      <c r="J9" s="239" t="str">
        <f>IFERROR(Table2575[[#This Row],[Qty]]*Table2575[[#This Row],[point(s) per quantity]],"")</f>
        <v/>
      </c>
      <c r="K9" s="203"/>
      <c r="L9" s="197">
        <v>52</v>
      </c>
    </row>
    <row r="10" spans="1:12" x14ac:dyDescent="0.2">
      <c r="A10" s="61"/>
      <c r="B10" s="218"/>
      <c r="C10" s="218"/>
      <c r="D10" s="218"/>
      <c r="E10" s="230" t="str">
        <f>IFERROR(VLOOKUP(Table2575[[#This Row],[Item]],Items!$B$2:$O$100,12,FALSE),"")</f>
        <v/>
      </c>
      <c r="F10" s="230" t="str">
        <f>IFERROR(VLOOKUP(Table2575[[#This Row],[Item]],Items!$B$2:$O$100,13,FALSE),"")</f>
        <v/>
      </c>
      <c r="G10" s="231" t="str">
        <f>IFERROR(VLOOKUP(Table2575[[#This Row],[Item]],Items!$B$2:$O$100,14,FALSE),"")</f>
        <v/>
      </c>
      <c r="H10" s="217"/>
      <c r="I10" s="217"/>
      <c r="J10" s="239" t="str">
        <f>IFERROR(Table2575[[#This Row],[Qty]]*Table2575[[#This Row],[point(s) per quantity]],"")</f>
        <v/>
      </c>
      <c r="K10" s="234"/>
      <c r="L10" s="197">
        <v>18</v>
      </c>
    </row>
    <row r="11" spans="1:12" x14ac:dyDescent="0.2">
      <c r="A11" s="61"/>
      <c r="B11" s="240"/>
      <c r="C11" s="240"/>
      <c r="D11" s="240"/>
      <c r="E11" s="230" t="str">
        <f>IFERROR(VLOOKUP(Table2575[[#This Row],[Item]],Items!$B$2:$M$100,12,FALSE),"")</f>
        <v/>
      </c>
      <c r="F11" s="230" t="str">
        <f>IFERROR(VLOOKUP(Table2575[[#This Row],[Item]],Items!$B$2:$O$100,13,FALSE),"")</f>
        <v/>
      </c>
      <c r="G11" s="231" t="str">
        <f>IFERROR(VLOOKUP(Table2575[[#This Row],[Item]],Items!$B$2:$O$100,14,FALSE),"")</f>
        <v/>
      </c>
      <c r="H11" s="241"/>
      <c r="I11" s="241"/>
      <c r="J11" s="239" t="str">
        <f>IFERROR(Table2575[[#This Row],[Qty]]*Table2575[[#This Row],[point(s) per quantity]],"")</f>
        <v/>
      </c>
      <c r="K11" s="233"/>
      <c r="L11" s="216">
        <v>20</v>
      </c>
    </row>
    <row r="12" spans="1:12" ht="15" customHeight="1" x14ac:dyDescent="0.2">
      <c r="B12" s="174"/>
      <c r="C12" s="174"/>
      <c r="D12" s="174"/>
      <c r="E12" s="230" t="str">
        <f>IFERROR(VLOOKUP(Table2575[[#This Row],[Item]],Items!$B$2:$M$100,12,FALSE),"")</f>
        <v/>
      </c>
      <c r="F12" s="230" t="str">
        <f>IFERROR(VLOOKUP(Table2575[[#This Row],[Item]],Items!$B$2:$O$100,13,FALSE),"")</f>
        <v/>
      </c>
      <c r="G12" s="231" t="str">
        <f>IFERROR(VLOOKUP(Table2575[[#This Row],[Item]],Items!$B$2:$O$100,14,FALSE),"")</f>
        <v/>
      </c>
      <c r="H12" s="166"/>
      <c r="I12" s="166"/>
      <c r="J12" s="239" t="str">
        <f>IFERROR(Table2575[[#This Row],[Qty]]*Table2575[[#This Row],[point(s) per quantity]],"")</f>
        <v/>
      </c>
      <c r="K12" s="203"/>
      <c r="L12" s="197">
        <v>2</v>
      </c>
    </row>
    <row r="13" spans="1:12" ht="15" customHeight="1" x14ac:dyDescent="0.2">
      <c r="B13" s="174"/>
      <c r="C13" s="174"/>
      <c r="D13" s="174"/>
      <c r="E13" s="230" t="str">
        <f>IFERROR(VLOOKUP(Table2575[[#This Row],[Item]],Items!$B$2:$M$100,12,FALSE),"")</f>
        <v/>
      </c>
      <c r="F13" s="230" t="str">
        <f>IFERROR(VLOOKUP(Table2575[[#This Row],[Item]],Items!$B$2:$O$100,13,FALSE),"")</f>
        <v/>
      </c>
      <c r="G13" s="231" t="str">
        <f>IFERROR(VLOOKUP(Table2575[[#This Row],[Item]],Items!$B$2:$O$100,14,FALSE),"")</f>
        <v/>
      </c>
      <c r="H13" s="166"/>
      <c r="I13" s="166"/>
      <c r="J13" s="239" t="str">
        <f>IFERROR(Table2575[[#This Row],[Qty]]*Table2575[[#This Row],[point(s) per quantity]],"")</f>
        <v/>
      </c>
      <c r="K13" s="235"/>
      <c r="L13" s="198">
        <v>8</v>
      </c>
    </row>
    <row r="14" spans="1:12" s="69" customFormat="1" ht="15" customHeight="1" x14ac:dyDescent="0.2">
      <c r="A14" s="65"/>
      <c r="B14" s="240"/>
      <c r="C14" s="240"/>
      <c r="D14" s="240"/>
      <c r="E14" s="230" t="str">
        <f>IFERROR(VLOOKUP(Table2575[[#This Row],[Item]],Items!$B$2:$O$100,12,FALSE),"")</f>
        <v/>
      </c>
      <c r="F14" s="230" t="str">
        <f>IFERROR(VLOOKUP(Table2575[[#This Row],[Item]],Items!$B$2:$O$100,13,FALSE),"")</f>
        <v/>
      </c>
      <c r="G14" s="231" t="str">
        <f>IFERROR(VLOOKUP(Table2575[[#This Row],[Item]],Items!$B$2:$O$100,14,FALSE),"")</f>
        <v/>
      </c>
      <c r="H14" s="241"/>
      <c r="I14" s="241"/>
      <c r="J14" s="239" t="str">
        <f>IFERROR(Table2575[[#This Row],[Qty]]*Table2575[[#This Row],[point(s) per quantity]],"")</f>
        <v/>
      </c>
      <c r="K14" s="233"/>
      <c r="L14" s="197">
        <v>40</v>
      </c>
    </row>
    <row r="15" spans="1:12" ht="15" customHeight="1" x14ac:dyDescent="0.2">
      <c r="B15" s="176"/>
      <c r="C15" s="174"/>
      <c r="D15" s="174"/>
      <c r="E15" s="230" t="str">
        <f>IFERROR(VLOOKUP(Table2575[[#This Row],[Item]],Items!$B$2:$M$100,12,FALSE),"")</f>
        <v/>
      </c>
      <c r="F15" s="230" t="str">
        <f>IFERROR(VLOOKUP(Table2575[[#This Row],[Item]],Items!$B$2:$O$100,13,FALSE),"")</f>
        <v/>
      </c>
      <c r="G15" s="231" t="str">
        <f>IFERROR(VLOOKUP(Table2575[[#This Row],[Item]],Items!$B$2:$O$100,14,FALSE),"")</f>
        <v/>
      </c>
      <c r="H15" s="168"/>
      <c r="I15" s="168"/>
      <c r="J15" s="239" t="str">
        <f>IFERROR(Table2575[[#This Row],[Qty]]*Table2575[[#This Row],[point(s) per quantity]],"")</f>
        <v/>
      </c>
      <c r="K15" s="236"/>
      <c r="L15" s="197"/>
    </row>
    <row r="16" spans="1:12" x14ac:dyDescent="0.2">
      <c r="B16" s="153"/>
      <c r="C16" s="153"/>
      <c r="D16" s="153"/>
      <c r="E16" s="153"/>
      <c r="F16" s="153"/>
      <c r="G16" s="226"/>
      <c r="H16" s="154"/>
      <c r="I16" s="154"/>
    </row>
  </sheetData>
  <sortState xmlns:xlrd2="http://schemas.microsoft.com/office/spreadsheetml/2017/richdata2" ref="B6:L15">
    <sortCondition ref="I6"/>
  </sortState>
  <phoneticPr fontId="40" type="noConversion"/>
  <dataValidations count="1">
    <dataValidation type="list" allowBlank="1" showInputMessage="1" showErrorMessage="1" sqref="D6:D15" xr:uid="{D92D291A-4454-4BED-859F-2212B902D93C}">
      <formula1>INDIRECT(C6)</formula1>
    </dataValidation>
  </dataValidations>
  <printOptions horizontalCentered="1"/>
  <pageMargins left="0.75" right="0.75" top="0.5" bottom="0.5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smmanual">
                <anchor moveWithCells="1" sizeWithCells="1">
                  <from>
                    <xdr:col>7</xdr:col>
                    <xdr:colOff>942975</xdr:colOff>
                    <xdr:row>1</xdr:row>
                    <xdr:rowOff>57150</xdr:rowOff>
                  </from>
                  <to>
                    <xdr:col>7</xdr:col>
                    <xdr:colOff>2476500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finalsummary_manual">
                <anchor moveWithCells="1" sizeWithCells="1">
                  <from>
                    <xdr:col>7</xdr:col>
                    <xdr:colOff>2886075</xdr:colOff>
                    <xdr:row>1</xdr:row>
                    <xdr:rowOff>76200</xdr:rowOff>
                  </from>
                  <to>
                    <xdr:col>8</xdr:col>
                    <xdr:colOff>1047750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6" name="Button 7">
              <controlPr defaultSize="0" print="0" autoFill="0" autoPict="0" macro="[0]!clear_manual">
                <anchor moveWithCells="1" sizeWithCells="1">
                  <from>
                    <xdr:col>9</xdr:col>
                    <xdr:colOff>38100</xdr:colOff>
                    <xdr:row>1</xdr:row>
                    <xdr:rowOff>57150</xdr:rowOff>
                  </from>
                  <to>
                    <xdr:col>10</xdr:col>
                    <xdr:colOff>666750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38F42F-052E-40D6-B747-20CFA07E1DB6}">
          <x14:formula1>
            <xm:f>'Task Types'!$A$2:$J$2</xm:f>
          </x14:formula1>
          <xm:sqref>C6:C15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BA05B-3D62-41DA-89AB-2FE1BE1A013B}">
  <sheetPr codeName="Sheet10"/>
  <dimension ref="A1:C3"/>
  <sheetViews>
    <sheetView zoomScale="80" zoomScaleNormal="80" workbookViewId="0">
      <selection activeCell="C16" sqref="C16"/>
    </sheetView>
  </sheetViews>
  <sheetFormatPr defaultRowHeight="12.75" x14ac:dyDescent="0.2"/>
  <cols>
    <col min="1" max="1" width="20.28515625" bestFit="1" customWidth="1"/>
    <col min="2" max="2" width="12.85546875" bestFit="1" customWidth="1"/>
    <col min="3" max="3" width="109.5703125" bestFit="1" customWidth="1"/>
  </cols>
  <sheetData>
    <row r="1" spans="1:3" x14ac:dyDescent="0.2">
      <c r="A1" s="193" t="s">
        <v>295</v>
      </c>
      <c r="B1" s="194" t="s">
        <v>289</v>
      </c>
      <c r="C1" s="195" t="s">
        <v>291</v>
      </c>
    </row>
    <row r="2" spans="1:3" x14ac:dyDescent="0.2">
      <c r="C2" s="31"/>
    </row>
    <row r="3" spans="1:3" x14ac:dyDescent="0.2">
      <c r="C3" s="3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EEC2B-0769-4442-958B-894CB3FE2018}">
  <sheetPr codeName="Sheet7"/>
  <dimension ref="A1:D38"/>
  <sheetViews>
    <sheetView workbookViewId="0"/>
  </sheetViews>
  <sheetFormatPr defaultRowHeight="12.75" x14ac:dyDescent="0.2"/>
  <cols>
    <col min="1" max="1" width="31.42578125" style="31" customWidth="1"/>
    <col min="2" max="2" width="33.7109375" style="31" customWidth="1"/>
    <col min="3" max="3" width="29.42578125" style="31" customWidth="1"/>
    <col min="4" max="4" width="27.28515625" style="31" customWidth="1"/>
    <col min="5" max="5" width="45.140625" customWidth="1"/>
  </cols>
  <sheetData>
    <row r="1" spans="1:4" ht="15" x14ac:dyDescent="0.25">
      <c r="A1" s="147" t="s">
        <v>178</v>
      </c>
      <c r="B1" s="147" t="s">
        <v>126</v>
      </c>
      <c r="C1" s="147" t="s">
        <v>127</v>
      </c>
      <c r="D1" s="147" t="s">
        <v>128</v>
      </c>
    </row>
    <row r="2" spans="1:4" ht="89.25" x14ac:dyDescent="0.2">
      <c r="A2" s="13" t="s">
        <v>125</v>
      </c>
      <c r="B2" s="146" t="s">
        <v>262</v>
      </c>
      <c r="C2" s="146" t="s">
        <v>269</v>
      </c>
      <c r="D2" s="146" t="s">
        <v>280</v>
      </c>
    </row>
    <row r="3" spans="1:4" ht="114.75" x14ac:dyDescent="0.2">
      <c r="A3" s="13" t="s">
        <v>129</v>
      </c>
      <c r="B3" s="146" t="s">
        <v>263</v>
      </c>
      <c r="C3" s="146" t="s">
        <v>270</v>
      </c>
      <c r="D3" s="146" t="s">
        <v>281</v>
      </c>
    </row>
    <row r="4" spans="1:4" ht="89.25" x14ac:dyDescent="0.2">
      <c r="A4" s="13" t="s">
        <v>139</v>
      </c>
      <c r="B4" s="146" t="s">
        <v>264</v>
      </c>
      <c r="C4" s="146" t="s">
        <v>271</v>
      </c>
      <c r="D4" s="146" t="s">
        <v>282</v>
      </c>
    </row>
    <row r="5" spans="1:4" ht="89.25" x14ac:dyDescent="0.2">
      <c r="A5" s="13" t="s">
        <v>140</v>
      </c>
      <c r="B5" s="146" t="s">
        <v>264</v>
      </c>
      <c r="C5" s="146" t="s">
        <v>271</v>
      </c>
      <c r="D5" s="146" t="s">
        <v>282</v>
      </c>
    </row>
    <row r="6" spans="1:4" ht="89.25" x14ac:dyDescent="0.2">
      <c r="A6" s="13" t="s">
        <v>141</v>
      </c>
      <c r="B6" s="146" t="s">
        <v>264</v>
      </c>
      <c r="C6" s="146" t="s">
        <v>271</v>
      </c>
      <c r="D6" s="146" t="s">
        <v>282</v>
      </c>
    </row>
    <row r="7" spans="1:4" ht="89.25" x14ac:dyDescent="0.2">
      <c r="A7" s="13" t="s">
        <v>142</v>
      </c>
      <c r="B7" s="146" t="s">
        <v>264</v>
      </c>
      <c r="C7" s="146" t="s">
        <v>271</v>
      </c>
      <c r="D7" s="146" t="s">
        <v>282</v>
      </c>
    </row>
    <row r="8" spans="1:4" ht="89.25" x14ac:dyDescent="0.2">
      <c r="A8" s="13" t="s">
        <v>191</v>
      </c>
      <c r="B8" s="146" t="s">
        <v>265</v>
      </c>
      <c r="C8" s="146" t="s">
        <v>271</v>
      </c>
      <c r="D8" s="146" t="s">
        <v>282</v>
      </c>
    </row>
    <row r="9" spans="1:4" ht="25.5" x14ac:dyDescent="0.2">
      <c r="A9" s="13" t="s">
        <v>192</v>
      </c>
      <c r="B9" s="146" t="s">
        <v>266</v>
      </c>
      <c r="C9" s="146" t="s">
        <v>272</v>
      </c>
      <c r="D9" s="146" t="s">
        <v>283</v>
      </c>
    </row>
    <row r="10" spans="1:4" x14ac:dyDescent="0.2">
      <c r="A10" s="13" t="s">
        <v>189</v>
      </c>
      <c r="B10" s="13"/>
      <c r="C10" s="8"/>
      <c r="D10" s="13"/>
    </row>
    <row r="11" spans="1:4" ht="25.5" x14ac:dyDescent="0.2">
      <c r="A11" s="13" t="s">
        <v>131</v>
      </c>
      <c r="B11" s="13" t="s">
        <v>207</v>
      </c>
      <c r="C11" s="13" t="s">
        <v>207</v>
      </c>
      <c r="D11" s="13" t="s">
        <v>207</v>
      </c>
    </row>
    <row r="12" spans="1:4" ht="51" x14ac:dyDescent="0.2">
      <c r="A12" s="8" t="s">
        <v>130</v>
      </c>
      <c r="B12" s="8" t="s">
        <v>208</v>
      </c>
      <c r="C12" s="8" t="s">
        <v>208</v>
      </c>
      <c r="D12" s="8" t="s">
        <v>208</v>
      </c>
    </row>
    <row r="13" spans="1:4" ht="63.75" x14ac:dyDescent="0.2">
      <c r="A13" s="8" t="s">
        <v>143</v>
      </c>
      <c r="B13" s="26" t="s">
        <v>267</v>
      </c>
      <c r="C13" s="26" t="s">
        <v>273</v>
      </c>
      <c r="D13" s="26" t="s">
        <v>284</v>
      </c>
    </row>
    <row r="14" spans="1:4" ht="25.5" x14ac:dyDescent="0.2">
      <c r="A14" s="13" t="s">
        <v>145</v>
      </c>
      <c r="B14" s="8" t="s">
        <v>210</v>
      </c>
      <c r="C14" s="8" t="s">
        <v>210</v>
      </c>
      <c r="D14" s="8" t="s">
        <v>210</v>
      </c>
    </row>
    <row r="15" spans="1:4" ht="102" x14ac:dyDescent="0.2">
      <c r="A15" s="8" t="s">
        <v>151</v>
      </c>
      <c r="B15" s="26" t="s">
        <v>268</v>
      </c>
      <c r="C15" s="26" t="s">
        <v>274</v>
      </c>
      <c r="D15" s="8"/>
    </row>
    <row r="16" spans="1:4" ht="38.25" x14ac:dyDescent="0.2">
      <c r="A16" s="13" t="s">
        <v>147</v>
      </c>
      <c r="B16" s="146" t="s">
        <v>261</v>
      </c>
      <c r="C16" s="146" t="s">
        <v>275</v>
      </c>
      <c r="D16" s="146" t="s">
        <v>285</v>
      </c>
    </row>
    <row r="17" spans="1:4" ht="25.5" x14ac:dyDescent="0.2">
      <c r="A17" s="13" t="s">
        <v>67</v>
      </c>
      <c r="B17" s="13" t="s">
        <v>213</v>
      </c>
      <c r="C17" s="13" t="s">
        <v>213</v>
      </c>
      <c r="D17" s="13" t="s">
        <v>213</v>
      </c>
    </row>
    <row r="18" spans="1:4" ht="57" x14ac:dyDescent="0.2">
      <c r="A18" s="13" t="s">
        <v>154</v>
      </c>
      <c r="B18" s="149" t="s">
        <v>214</v>
      </c>
      <c r="C18" s="149" t="s">
        <v>214</v>
      </c>
      <c r="D18" s="149" t="s">
        <v>214</v>
      </c>
    </row>
    <row r="19" spans="1:4" ht="38.25" x14ac:dyDescent="0.2">
      <c r="A19" s="8" t="s">
        <v>163</v>
      </c>
      <c r="B19" s="26" t="s">
        <v>260</v>
      </c>
      <c r="C19" s="26" t="s">
        <v>276</v>
      </c>
      <c r="D19" s="26" t="s">
        <v>286</v>
      </c>
    </row>
    <row r="20" spans="1:4" ht="38.25" x14ac:dyDescent="0.2">
      <c r="A20" s="8" t="s">
        <v>165</v>
      </c>
      <c r="B20" s="26" t="s">
        <v>259</v>
      </c>
      <c r="C20" s="26" t="s">
        <v>277</v>
      </c>
      <c r="D20" s="26" t="s">
        <v>287</v>
      </c>
    </row>
    <row r="21" spans="1:4" ht="38.25" x14ac:dyDescent="0.2">
      <c r="A21" s="8" t="s">
        <v>164</v>
      </c>
      <c r="B21" s="26" t="s">
        <v>258</v>
      </c>
      <c r="C21" s="26" t="s">
        <v>278</v>
      </c>
      <c r="D21" s="26" t="s">
        <v>286</v>
      </c>
    </row>
    <row r="22" spans="1:4" ht="38.25" x14ac:dyDescent="0.2">
      <c r="A22" s="8" t="s">
        <v>166</v>
      </c>
      <c r="B22" s="26" t="s">
        <v>257</v>
      </c>
      <c r="C22" s="26" t="s">
        <v>279</v>
      </c>
      <c r="D22" s="26" t="s">
        <v>287</v>
      </c>
    </row>
    <row r="23" spans="1:4" ht="38.25" x14ac:dyDescent="0.2">
      <c r="A23" s="8" t="s">
        <v>135</v>
      </c>
      <c r="B23" s="8" t="s">
        <v>219</v>
      </c>
      <c r="C23" s="8" t="s">
        <v>219</v>
      </c>
      <c r="D23" s="8" t="s">
        <v>219</v>
      </c>
    </row>
    <row r="24" spans="1:4" ht="38.25" x14ac:dyDescent="0.2">
      <c r="A24" s="8" t="s">
        <v>136</v>
      </c>
      <c r="B24" s="8" t="s">
        <v>219</v>
      </c>
      <c r="C24" s="8" t="s">
        <v>219</v>
      </c>
      <c r="D24" s="8" t="s">
        <v>219</v>
      </c>
    </row>
    <row r="25" spans="1:4" ht="25.5" x14ac:dyDescent="0.2">
      <c r="A25" s="8" t="s">
        <v>137</v>
      </c>
      <c r="B25" s="8" t="s">
        <v>220</v>
      </c>
      <c r="C25" s="8" t="s">
        <v>220</v>
      </c>
      <c r="D25" s="8" t="s">
        <v>220</v>
      </c>
    </row>
    <row r="26" spans="1:4" x14ac:dyDescent="0.2">
      <c r="A26" s="8" t="s">
        <v>156</v>
      </c>
      <c r="B26" s="8" t="s">
        <v>221</v>
      </c>
      <c r="C26" s="8" t="s">
        <v>221</v>
      </c>
      <c r="D26" s="8" t="s">
        <v>221</v>
      </c>
    </row>
    <row r="27" spans="1:4" x14ac:dyDescent="0.2">
      <c r="A27" s="8" t="s">
        <v>159</v>
      </c>
      <c r="B27" s="8" t="s">
        <v>222</v>
      </c>
      <c r="C27" s="8" t="s">
        <v>222</v>
      </c>
      <c r="D27" s="8" t="s">
        <v>222</v>
      </c>
    </row>
    <row r="28" spans="1:4" ht="25.5" x14ac:dyDescent="0.2">
      <c r="A28" s="8" t="s">
        <v>160</v>
      </c>
      <c r="B28" s="8" t="s">
        <v>223</v>
      </c>
      <c r="C28" s="8" t="s">
        <v>223</v>
      </c>
      <c r="D28" s="8" t="s">
        <v>223</v>
      </c>
    </row>
    <row r="29" spans="1:4" x14ac:dyDescent="0.2">
      <c r="A29" s="8" t="s">
        <v>158</v>
      </c>
      <c r="B29" s="8" t="s">
        <v>224</v>
      </c>
      <c r="C29" s="8" t="s">
        <v>224</v>
      </c>
      <c r="D29" s="8" t="s">
        <v>224</v>
      </c>
    </row>
    <row r="30" spans="1:4" x14ac:dyDescent="0.2">
      <c r="A30" s="8" t="s">
        <v>157</v>
      </c>
      <c r="B30" s="8" t="s">
        <v>225</v>
      </c>
      <c r="C30" s="8" t="s">
        <v>225</v>
      </c>
      <c r="D30" s="8" t="s">
        <v>225</v>
      </c>
    </row>
    <row r="31" spans="1:4" ht="25.5" x14ac:dyDescent="0.2">
      <c r="A31" s="8" t="s">
        <v>193</v>
      </c>
      <c r="B31" s="8" t="s">
        <v>226</v>
      </c>
      <c r="C31" s="8" t="s">
        <v>226</v>
      </c>
      <c r="D31" s="8" t="s">
        <v>226</v>
      </c>
    </row>
    <row r="32" spans="1:4" ht="25.5" x14ac:dyDescent="0.2">
      <c r="A32" s="8" t="s">
        <v>168</v>
      </c>
      <c r="B32" s="8" t="s">
        <v>227</v>
      </c>
      <c r="C32" s="8" t="s">
        <v>227</v>
      </c>
      <c r="D32" s="8" t="s">
        <v>227</v>
      </c>
    </row>
    <row r="33" spans="1:4" x14ac:dyDescent="0.2">
      <c r="A33" s="8" t="s">
        <v>199</v>
      </c>
      <c r="B33" s="8" t="s">
        <v>228</v>
      </c>
      <c r="C33" s="8" t="s">
        <v>228</v>
      </c>
      <c r="D33" s="8" t="s">
        <v>228</v>
      </c>
    </row>
    <row r="34" spans="1:4" ht="25.5" x14ac:dyDescent="0.2">
      <c r="A34" s="8" t="s">
        <v>161</v>
      </c>
      <c r="B34" s="8" t="s">
        <v>229</v>
      </c>
      <c r="C34" s="8" t="s">
        <v>229</v>
      </c>
      <c r="D34" s="8" t="s">
        <v>229</v>
      </c>
    </row>
    <row r="35" spans="1:4" ht="25.5" x14ac:dyDescent="0.2">
      <c r="A35" s="8" t="s">
        <v>200</v>
      </c>
      <c r="B35" s="8" t="s">
        <v>230</v>
      </c>
      <c r="C35" s="8" t="s">
        <v>230</v>
      </c>
      <c r="D35" s="8" t="s">
        <v>230</v>
      </c>
    </row>
    <row r="36" spans="1:4" ht="25.5" x14ac:dyDescent="0.2">
      <c r="A36" s="8" t="s">
        <v>187</v>
      </c>
      <c r="B36" s="8" t="s">
        <v>231</v>
      </c>
      <c r="C36" s="8" t="s">
        <v>231</v>
      </c>
      <c r="D36" s="8" t="s">
        <v>231</v>
      </c>
    </row>
    <row r="37" spans="1:4" ht="25.5" x14ac:dyDescent="0.2">
      <c r="A37" s="8" t="s">
        <v>186</v>
      </c>
      <c r="B37" s="8" t="s">
        <v>231</v>
      </c>
      <c r="C37" s="8" t="s">
        <v>231</v>
      </c>
      <c r="D37" s="8" t="s">
        <v>231</v>
      </c>
    </row>
    <row r="38" spans="1:4" x14ac:dyDescent="0.2">
      <c r="B38" s="148"/>
      <c r="C38" s="148"/>
      <c r="D38" s="148"/>
    </row>
  </sheetData>
  <sheetProtection algorithmName="SHA-512" hashValue="R+Ja1LvO0a7KgXEGTkqDKhF9HBnYhiaSG+cNd/pO7x+VsZ+9x/u01dXteYcRBrK1eGPqOyPgoG2WCpK7l79mrQ==" saltValue="BmPoOl3kBDRFB/E/w+1n+Q==" spinCount="100000" sheet="1" objects="1" scenarios="1"/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81D09-34DA-4554-96BA-2C3D86DCFF89}">
  <sheetPr codeName="Sheet4"/>
  <dimension ref="A1:E50"/>
  <sheetViews>
    <sheetView topLeftCell="A2" workbookViewId="0">
      <selection activeCell="A2" sqref="A2"/>
    </sheetView>
  </sheetViews>
  <sheetFormatPr defaultRowHeight="12.75" x14ac:dyDescent="0.2"/>
  <cols>
    <col min="1" max="1" width="27" bestFit="1" customWidth="1"/>
    <col min="2" max="2" width="53" customWidth="1"/>
    <col min="3" max="3" width="9.42578125" bestFit="1" customWidth="1"/>
    <col min="4" max="4" width="11.5703125" bestFit="1" customWidth="1"/>
    <col min="5" max="5" width="11.28515625" bestFit="1" customWidth="1"/>
  </cols>
  <sheetData>
    <row r="1" spans="1:5" ht="15" x14ac:dyDescent="0.25">
      <c r="A1" s="257" t="s">
        <v>176</v>
      </c>
      <c r="B1" s="257"/>
      <c r="C1" s="257"/>
      <c r="D1" s="257"/>
      <c r="E1" s="257"/>
    </row>
    <row r="2" spans="1:5" ht="15" x14ac:dyDescent="0.25">
      <c r="A2" s="6" t="s">
        <v>177</v>
      </c>
      <c r="B2" s="6" t="s">
        <v>178</v>
      </c>
      <c r="C2" s="6" t="s">
        <v>126</v>
      </c>
      <c r="D2" s="6" t="s">
        <v>127</v>
      </c>
      <c r="E2" s="6" t="s">
        <v>128</v>
      </c>
    </row>
    <row r="3" spans="1:5" x14ac:dyDescent="0.2">
      <c r="A3" s="17" t="s">
        <v>179</v>
      </c>
      <c r="B3" s="9" t="s">
        <v>180</v>
      </c>
      <c r="C3" s="10" t="s">
        <v>181</v>
      </c>
      <c r="D3" s="10" t="s">
        <v>181</v>
      </c>
      <c r="E3" s="10" t="s">
        <v>181</v>
      </c>
    </row>
    <row r="4" spans="1:5" x14ac:dyDescent="0.2">
      <c r="A4" s="17" t="s">
        <v>179</v>
      </c>
      <c r="B4" s="9" t="s">
        <v>182</v>
      </c>
      <c r="C4" s="10" t="s">
        <v>181</v>
      </c>
      <c r="D4" s="10" t="s">
        <v>181</v>
      </c>
      <c r="E4" s="10" t="s">
        <v>181</v>
      </c>
    </row>
    <row r="5" spans="1:5" x14ac:dyDescent="0.2">
      <c r="A5" s="17" t="s">
        <v>179</v>
      </c>
      <c r="B5" s="9" t="s">
        <v>183</v>
      </c>
      <c r="C5" s="10" t="s">
        <v>181</v>
      </c>
      <c r="D5" s="10" t="s">
        <v>181</v>
      </c>
      <c r="E5" s="10" t="s">
        <v>181</v>
      </c>
    </row>
    <row r="6" spans="1:5" x14ac:dyDescent="0.2">
      <c r="A6" s="17" t="s">
        <v>179</v>
      </c>
      <c r="B6" s="9" t="s">
        <v>184</v>
      </c>
      <c r="C6" s="10" t="s">
        <v>181</v>
      </c>
      <c r="D6" s="10" t="s">
        <v>181</v>
      </c>
      <c r="E6" s="10" t="s">
        <v>181</v>
      </c>
    </row>
    <row r="7" spans="1:5" x14ac:dyDescent="0.2">
      <c r="A7" s="17" t="s">
        <v>185</v>
      </c>
      <c r="B7" s="9" t="s">
        <v>186</v>
      </c>
      <c r="C7" s="10">
        <v>1.5</v>
      </c>
      <c r="D7" s="10">
        <v>1.5</v>
      </c>
      <c r="E7" s="10">
        <v>1.5</v>
      </c>
    </row>
    <row r="8" spans="1:5" x14ac:dyDescent="0.2">
      <c r="A8" s="17" t="s">
        <v>185</v>
      </c>
      <c r="B8" s="9" t="s">
        <v>187</v>
      </c>
      <c r="C8" s="10">
        <v>1.5</v>
      </c>
      <c r="D8" s="10">
        <v>1.5</v>
      </c>
      <c r="E8" s="10">
        <v>1.5</v>
      </c>
    </row>
    <row r="9" spans="1:5" ht="14.25" x14ac:dyDescent="0.2">
      <c r="A9" s="27" t="s">
        <v>188</v>
      </c>
      <c r="B9" s="9" t="s">
        <v>168</v>
      </c>
      <c r="C9" s="10">
        <v>16</v>
      </c>
      <c r="D9" s="10">
        <v>16</v>
      </c>
      <c r="E9" s="10">
        <v>16</v>
      </c>
    </row>
    <row r="10" spans="1:5" ht="14.25" x14ac:dyDescent="0.2">
      <c r="A10" s="16" t="s">
        <v>112</v>
      </c>
      <c r="B10" s="12" t="s">
        <v>67</v>
      </c>
      <c r="C10" s="11">
        <v>4</v>
      </c>
      <c r="D10" s="11">
        <v>4</v>
      </c>
      <c r="E10" s="11">
        <v>4</v>
      </c>
    </row>
    <row r="11" spans="1:5" ht="14.25" x14ac:dyDescent="0.2">
      <c r="A11" s="16" t="s">
        <v>112</v>
      </c>
      <c r="B11" s="12" t="s">
        <v>125</v>
      </c>
      <c r="C11" s="11">
        <v>1</v>
      </c>
      <c r="D11" s="11">
        <v>2</v>
      </c>
      <c r="E11" s="11">
        <v>3</v>
      </c>
    </row>
    <row r="12" spans="1:5" ht="14.25" x14ac:dyDescent="0.2">
      <c r="A12" s="16" t="s">
        <v>112</v>
      </c>
      <c r="B12" s="12" t="s">
        <v>129</v>
      </c>
      <c r="C12" s="11">
        <v>2</v>
      </c>
      <c r="D12" s="11">
        <v>3</v>
      </c>
      <c r="E12" s="11">
        <v>4</v>
      </c>
    </row>
    <row r="13" spans="1:5" ht="14.25" x14ac:dyDescent="0.2">
      <c r="A13" s="16" t="s">
        <v>112</v>
      </c>
      <c r="B13" s="9" t="s">
        <v>145</v>
      </c>
      <c r="C13" s="10">
        <v>8</v>
      </c>
      <c r="D13" s="10">
        <v>8</v>
      </c>
      <c r="E13" s="10">
        <v>8</v>
      </c>
    </row>
    <row r="14" spans="1:5" ht="14.25" x14ac:dyDescent="0.2">
      <c r="A14" s="16" t="s">
        <v>112</v>
      </c>
      <c r="B14" s="12" t="s">
        <v>131</v>
      </c>
      <c r="C14" s="11">
        <v>8</v>
      </c>
      <c r="D14" s="11">
        <v>8</v>
      </c>
      <c r="E14" s="11">
        <v>8</v>
      </c>
    </row>
    <row r="15" spans="1:5" ht="14.25" x14ac:dyDescent="0.2">
      <c r="A15" s="16" t="s">
        <v>112</v>
      </c>
      <c r="B15" s="9" t="s">
        <v>147</v>
      </c>
      <c r="C15" s="10">
        <v>4</v>
      </c>
      <c r="D15" s="10">
        <v>8</v>
      </c>
      <c r="E15" s="10">
        <v>15</v>
      </c>
    </row>
    <row r="16" spans="1:5" ht="14.25" x14ac:dyDescent="0.2">
      <c r="A16" s="16" t="s">
        <v>138</v>
      </c>
      <c r="B16" s="12" t="s">
        <v>154</v>
      </c>
      <c r="C16" s="11">
        <v>8</v>
      </c>
      <c r="D16" s="11">
        <v>8</v>
      </c>
      <c r="E16" s="11">
        <v>8</v>
      </c>
    </row>
    <row r="17" spans="1:5" ht="14.25" x14ac:dyDescent="0.2">
      <c r="A17" s="16" t="s">
        <v>138</v>
      </c>
      <c r="B17" s="12" t="s">
        <v>189</v>
      </c>
      <c r="C17" s="11">
        <v>2</v>
      </c>
      <c r="D17" s="11">
        <v>2</v>
      </c>
      <c r="E17" s="11">
        <v>2</v>
      </c>
    </row>
    <row r="18" spans="1:5" ht="14.25" x14ac:dyDescent="0.2">
      <c r="A18" s="16" t="s">
        <v>138</v>
      </c>
      <c r="B18" s="9" t="s">
        <v>151</v>
      </c>
      <c r="C18" s="10">
        <v>14</v>
      </c>
      <c r="D18" s="10">
        <v>20</v>
      </c>
      <c r="E18" s="10" t="s">
        <v>190</v>
      </c>
    </row>
    <row r="19" spans="1:5" ht="14.25" x14ac:dyDescent="0.2">
      <c r="A19" s="16" t="s">
        <v>138</v>
      </c>
      <c r="B19" s="12" t="s">
        <v>142</v>
      </c>
      <c r="C19" s="11">
        <v>12</v>
      </c>
      <c r="D19" s="11">
        <v>28</v>
      </c>
      <c r="E19" s="11" t="s">
        <v>190</v>
      </c>
    </row>
    <row r="20" spans="1:5" ht="14.25" x14ac:dyDescent="0.2">
      <c r="A20" s="16" t="s">
        <v>138</v>
      </c>
      <c r="B20" s="12" t="s">
        <v>141</v>
      </c>
      <c r="C20" s="11">
        <v>8</v>
      </c>
      <c r="D20" s="11">
        <v>18</v>
      </c>
      <c r="E20" s="11" t="s">
        <v>190</v>
      </c>
    </row>
    <row r="21" spans="1:5" ht="14.25" x14ac:dyDescent="0.2">
      <c r="A21" s="16" t="s">
        <v>138</v>
      </c>
      <c r="B21" s="12" t="s">
        <v>140</v>
      </c>
      <c r="C21" s="11">
        <v>5</v>
      </c>
      <c r="D21" s="11">
        <v>10</v>
      </c>
      <c r="E21" s="11" t="s">
        <v>190</v>
      </c>
    </row>
    <row r="22" spans="1:5" ht="14.25" x14ac:dyDescent="0.2">
      <c r="A22" s="16" t="s">
        <v>138</v>
      </c>
      <c r="B22" s="12" t="s">
        <v>191</v>
      </c>
      <c r="C22" s="15">
        <v>22</v>
      </c>
      <c r="D22" s="11" t="s">
        <v>190</v>
      </c>
      <c r="E22" s="11" t="s">
        <v>190</v>
      </c>
    </row>
    <row r="23" spans="1:5" ht="14.25" x14ac:dyDescent="0.2">
      <c r="A23" s="16" t="s">
        <v>138</v>
      </c>
      <c r="B23" s="12" t="s">
        <v>139</v>
      </c>
      <c r="C23" s="11">
        <v>3</v>
      </c>
      <c r="D23" s="11">
        <v>5</v>
      </c>
      <c r="E23" s="11" t="s">
        <v>190</v>
      </c>
    </row>
    <row r="24" spans="1:5" x14ac:dyDescent="0.2">
      <c r="A24" s="17" t="s">
        <v>138</v>
      </c>
      <c r="B24" s="9" t="s">
        <v>130</v>
      </c>
      <c r="C24" s="10">
        <v>4</v>
      </c>
      <c r="D24" s="10">
        <v>4</v>
      </c>
      <c r="E24" s="10">
        <v>4</v>
      </c>
    </row>
    <row r="25" spans="1:5" ht="14.25" x14ac:dyDescent="0.2">
      <c r="A25" s="16" t="s">
        <v>138</v>
      </c>
      <c r="B25" s="9" t="s">
        <v>143</v>
      </c>
      <c r="C25" s="10">
        <v>12</v>
      </c>
      <c r="D25" s="10">
        <v>18</v>
      </c>
      <c r="E25" s="10">
        <v>24</v>
      </c>
    </row>
    <row r="26" spans="1:5" ht="14.25" x14ac:dyDescent="0.2">
      <c r="A26" s="16" t="s">
        <v>138</v>
      </c>
      <c r="B26" s="12" t="s">
        <v>192</v>
      </c>
      <c r="C26" s="11">
        <v>1</v>
      </c>
      <c r="D26" s="11">
        <v>4</v>
      </c>
      <c r="E26" s="11">
        <v>8</v>
      </c>
    </row>
    <row r="27" spans="1:5" ht="14.25" x14ac:dyDescent="0.2">
      <c r="A27" s="27" t="s">
        <v>155</v>
      </c>
      <c r="B27" s="9" t="s">
        <v>158</v>
      </c>
      <c r="C27" s="10">
        <v>20</v>
      </c>
      <c r="D27" s="10">
        <v>20</v>
      </c>
      <c r="E27" s="10">
        <v>20</v>
      </c>
    </row>
    <row r="28" spans="1:5" ht="14.25" x14ac:dyDescent="0.2">
      <c r="A28" s="27" t="s">
        <v>155</v>
      </c>
      <c r="B28" s="9" t="s">
        <v>156</v>
      </c>
      <c r="C28" s="10">
        <v>4</v>
      </c>
      <c r="D28" s="10">
        <v>4</v>
      </c>
      <c r="E28" s="10">
        <v>4</v>
      </c>
    </row>
    <row r="29" spans="1:5" ht="14.25" x14ac:dyDescent="0.2">
      <c r="A29" s="27" t="s">
        <v>155</v>
      </c>
      <c r="B29" s="9" t="s">
        <v>160</v>
      </c>
      <c r="C29" s="10">
        <v>8</v>
      </c>
      <c r="D29" s="10">
        <v>8</v>
      </c>
      <c r="E29" s="10">
        <v>8</v>
      </c>
    </row>
    <row r="30" spans="1:5" ht="14.25" x14ac:dyDescent="0.2">
      <c r="A30" s="27" t="s">
        <v>155</v>
      </c>
      <c r="B30" s="9" t="s">
        <v>157</v>
      </c>
      <c r="C30" s="10">
        <v>6</v>
      </c>
      <c r="D30" s="10">
        <v>6</v>
      </c>
      <c r="E30" s="10">
        <v>6</v>
      </c>
    </row>
    <row r="31" spans="1:5" ht="14.25" x14ac:dyDescent="0.2">
      <c r="A31" s="27" t="s">
        <v>155</v>
      </c>
      <c r="B31" s="9" t="s">
        <v>159</v>
      </c>
      <c r="C31" s="10">
        <v>5</v>
      </c>
      <c r="D31" s="10">
        <v>5</v>
      </c>
      <c r="E31" s="10">
        <v>5</v>
      </c>
    </row>
    <row r="32" spans="1:5" ht="14.25" x14ac:dyDescent="0.2">
      <c r="A32" s="27" t="s">
        <v>155</v>
      </c>
      <c r="B32" s="9" t="s">
        <v>193</v>
      </c>
      <c r="C32" s="10">
        <v>20</v>
      </c>
      <c r="D32" s="10">
        <v>20</v>
      </c>
      <c r="E32" s="10">
        <v>20</v>
      </c>
    </row>
    <row r="33" spans="1:5" ht="14.25" x14ac:dyDescent="0.2">
      <c r="A33" s="27" t="s">
        <v>134</v>
      </c>
      <c r="B33" s="9" t="s">
        <v>137</v>
      </c>
      <c r="C33" s="10">
        <v>1</v>
      </c>
      <c r="D33" s="10">
        <v>1</v>
      </c>
      <c r="E33" s="10">
        <v>1</v>
      </c>
    </row>
    <row r="34" spans="1:5" ht="14.25" x14ac:dyDescent="0.2">
      <c r="A34" s="27" t="s">
        <v>134</v>
      </c>
      <c r="B34" s="9" t="s">
        <v>135</v>
      </c>
      <c r="C34" s="10">
        <v>1</v>
      </c>
      <c r="D34" s="10">
        <v>1</v>
      </c>
      <c r="E34" s="10">
        <v>1</v>
      </c>
    </row>
    <row r="35" spans="1:5" ht="14.25" x14ac:dyDescent="0.2">
      <c r="A35" s="27" t="s">
        <v>134</v>
      </c>
      <c r="B35" s="9" t="s">
        <v>136</v>
      </c>
      <c r="C35" s="10">
        <v>1</v>
      </c>
      <c r="D35" s="10">
        <v>1</v>
      </c>
      <c r="E35" s="10">
        <v>1</v>
      </c>
    </row>
    <row r="36" spans="1:5" x14ac:dyDescent="0.2">
      <c r="A36" s="17" t="s">
        <v>194</v>
      </c>
      <c r="B36" s="9" t="s">
        <v>195</v>
      </c>
      <c r="C36" s="10">
        <v>0</v>
      </c>
      <c r="D36" s="10">
        <v>0</v>
      </c>
      <c r="E36" s="10">
        <v>0</v>
      </c>
    </row>
    <row r="37" spans="1:5" x14ac:dyDescent="0.2">
      <c r="A37" s="17" t="s">
        <v>194</v>
      </c>
      <c r="B37" s="9" t="s">
        <v>196</v>
      </c>
      <c r="C37" s="10">
        <v>0</v>
      </c>
      <c r="D37" s="10">
        <v>0</v>
      </c>
      <c r="E37" s="10">
        <v>0</v>
      </c>
    </row>
    <row r="38" spans="1:5" x14ac:dyDescent="0.2">
      <c r="A38" s="17" t="s">
        <v>194</v>
      </c>
      <c r="B38" s="9" t="s">
        <v>197</v>
      </c>
      <c r="C38" s="10">
        <v>0</v>
      </c>
      <c r="D38" s="10">
        <v>0</v>
      </c>
      <c r="E38" s="10">
        <v>0</v>
      </c>
    </row>
    <row r="39" spans="1:5" x14ac:dyDescent="0.2">
      <c r="A39" s="17" t="s">
        <v>194</v>
      </c>
      <c r="B39" s="9" t="s">
        <v>170</v>
      </c>
      <c r="C39" s="10">
        <v>0</v>
      </c>
      <c r="D39" s="10">
        <v>0</v>
      </c>
      <c r="E39" s="10">
        <v>0</v>
      </c>
    </row>
    <row r="40" spans="1:5" x14ac:dyDescent="0.2">
      <c r="A40" s="17" t="s">
        <v>194</v>
      </c>
      <c r="B40" s="9" t="s">
        <v>198</v>
      </c>
      <c r="C40" s="10">
        <v>0</v>
      </c>
      <c r="D40" s="10">
        <v>0</v>
      </c>
      <c r="E40" s="10">
        <v>0</v>
      </c>
    </row>
    <row r="41" spans="1:5" x14ac:dyDescent="0.2">
      <c r="A41" s="17" t="s">
        <v>194</v>
      </c>
      <c r="B41" s="9" t="s">
        <v>133</v>
      </c>
      <c r="C41" s="10">
        <v>0</v>
      </c>
      <c r="D41" s="10">
        <v>0</v>
      </c>
      <c r="E41" s="10">
        <v>0</v>
      </c>
    </row>
    <row r="42" spans="1:5" x14ac:dyDescent="0.2">
      <c r="A42" s="17" t="s">
        <v>5</v>
      </c>
      <c r="B42" s="9" t="s">
        <v>199</v>
      </c>
      <c r="C42" s="10">
        <v>1</v>
      </c>
      <c r="D42" s="10">
        <v>1</v>
      </c>
      <c r="E42" s="10">
        <v>1</v>
      </c>
    </row>
    <row r="43" spans="1:5" x14ac:dyDescent="0.2">
      <c r="A43" s="17" t="s">
        <v>5</v>
      </c>
      <c r="B43" s="9" t="s">
        <v>161</v>
      </c>
      <c r="C43" s="10">
        <v>1</v>
      </c>
      <c r="D43" s="10">
        <v>1</v>
      </c>
      <c r="E43" s="10">
        <v>1</v>
      </c>
    </row>
    <row r="44" spans="1:5" x14ac:dyDescent="0.2">
      <c r="A44" s="17" t="s">
        <v>162</v>
      </c>
      <c r="B44" s="9" t="s">
        <v>200</v>
      </c>
      <c r="C44" s="10">
        <v>1</v>
      </c>
      <c r="D44" s="10">
        <v>1</v>
      </c>
      <c r="E44" s="10">
        <v>1</v>
      </c>
    </row>
    <row r="45" spans="1:5" ht="14.25" x14ac:dyDescent="0.2">
      <c r="A45" s="16" t="s">
        <v>162</v>
      </c>
      <c r="B45" s="9" t="s">
        <v>166</v>
      </c>
      <c r="C45" s="10">
        <v>3</v>
      </c>
      <c r="D45" s="10">
        <v>6</v>
      </c>
      <c r="E45" s="10" t="s">
        <v>201</v>
      </c>
    </row>
    <row r="46" spans="1:5" ht="14.25" x14ac:dyDescent="0.2">
      <c r="A46" s="16" t="s">
        <v>162</v>
      </c>
      <c r="B46" s="9" t="s">
        <v>164</v>
      </c>
      <c r="C46" s="10">
        <v>2</v>
      </c>
      <c r="D46" s="10">
        <v>4</v>
      </c>
      <c r="E46" s="10" t="s">
        <v>201</v>
      </c>
    </row>
    <row r="47" spans="1:5" ht="14.25" x14ac:dyDescent="0.2">
      <c r="A47" s="16" t="s">
        <v>162</v>
      </c>
      <c r="B47" s="9" t="s">
        <v>165</v>
      </c>
      <c r="C47" s="10">
        <v>10</v>
      </c>
      <c r="D47" s="10">
        <v>16</v>
      </c>
      <c r="E47" s="10" t="s">
        <v>201</v>
      </c>
    </row>
    <row r="48" spans="1:5" ht="14.25" x14ac:dyDescent="0.2">
      <c r="A48" s="16" t="s">
        <v>162</v>
      </c>
      <c r="B48" s="9" t="s">
        <v>163</v>
      </c>
      <c r="C48" s="10">
        <v>4</v>
      </c>
      <c r="D48" s="10">
        <v>8</v>
      </c>
      <c r="E48" s="10" t="s">
        <v>201</v>
      </c>
    </row>
    <row r="49" spans="1:5" ht="14.25" x14ac:dyDescent="0.2">
      <c r="A49" s="16" t="s">
        <v>162</v>
      </c>
      <c r="B49" s="9" t="s">
        <v>202</v>
      </c>
      <c r="C49" s="10">
        <v>8</v>
      </c>
      <c r="D49" s="10">
        <v>8</v>
      </c>
      <c r="E49" s="10">
        <v>8</v>
      </c>
    </row>
    <row r="50" spans="1:5" x14ac:dyDescent="0.2">
      <c r="A50" s="213" t="s">
        <v>4</v>
      </c>
      <c r="B50" s="213" t="s">
        <v>171</v>
      </c>
      <c r="C50" s="10"/>
      <c r="D50" s="10"/>
      <c r="E50" s="10"/>
    </row>
  </sheetData>
  <sheetProtection algorithmName="SHA-512" hashValue="ZZRlZy++dStU1DeUQ8vDNk8D6VQftJdK34LJY21ZmsMQndvGagvSdg5lzG4xEANZtm8J7v+ey+Z6y0IMqvnLdQ==" saltValue="zU7gnvS2KnH+CoTPL/6M4Q==" spinCount="100000" sheet="1" objects="1" scenarios="1"/>
  <mergeCells count="1">
    <mergeCell ref="A1:E1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10A5750AEA842A08A7E26D0C6E19C" ma:contentTypeVersion="5" ma:contentTypeDescription="Create a new document." ma:contentTypeScope="" ma:versionID="a45d99c5c351535a2ced7a146c6196e0">
  <xsd:schema xmlns:xsd="http://www.w3.org/2001/XMLSchema" xmlns:xs="http://www.w3.org/2001/XMLSchema" xmlns:p="http://schemas.microsoft.com/office/2006/metadata/properties" xmlns:ns2="5ddce61f-827f-4c2f-954e-0dba29634ad8" xmlns:ns3="eac28b78-b418-4743-9ba8-faeb7ab6c7b5" targetNamespace="http://schemas.microsoft.com/office/2006/metadata/properties" ma:root="true" ma:fieldsID="ce9c0d1bcd261a68e269e86452ee6410" ns2:_="" ns3:_="">
    <xsd:import namespace="5ddce61f-827f-4c2f-954e-0dba29634ad8"/>
    <xsd:import namespace="eac28b78-b418-4743-9ba8-faeb7ab6c7b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dce61f-827f-4c2f-954e-0dba29634ad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c28b78-b418-4743-9ba8-faeb7ab6c7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MediaServiceAutoTags" ma:description="" ma:internalName="MediaServiceAutoTag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5902C9A-5867-4802-A44E-BECAD859F42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AFB8283-27F1-4C95-92CF-C57010D98EA5}">
  <ds:schemaRefs>
    <ds:schemaRef ds:uri="5ddce61f-827f-4c2f-954e-0dba29634ad8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96905022-e978-4b1b-8866-1fd5209c9cf9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3915F4C-CB9E-4F1E-BC15-41F472A5E7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ddce61f-827f-4c2f-954e-0dba29634ad8"/>
    <ds:schemaRef ds:uri="eac28b78-b418-4743-9ba8-faeb7ab6c7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Internal BoM</vt:lpstr>
      <vt:lpstr>Task Types</vt:lpstr>
      <vt:lpstr>CSMPTS_Automated</vt:lpstr>
      <vt:lpstr>Summary_Automated</vt:lpstr>
      <vt:lpstr>Items</vt:lpstr>
      <vt:lpstr>Points Explanations</vt:lpstr>
      <vt:lpstr>CSMPTS_Manual</vt:lpstr>
      <vt:lpstr>Summary_Manual</vt:lpstr>
      <vt:lpstr>Description</vt:lpstr>
      <vt:lpstr>Points Category</vt:lpstr>
      <vt:lpstr>Analytics</vt:lpstr>
      <vt:lpstr>Complexity</vt:lpstr>
      <vt:lpstr>Documentation</vt:lpstr>
      <vt:lpstr>Existing_Data_Model_Changes</vt:lpstr>
      <vt:lpstr>New_Data_Models</vt:lpstr>
      <vt:lpstr>New_Integrations</vt:lpstr>
      <vt:lpstr>ODS_MDS_Changes</vt:lpstr>
      <vt:lpstr>Others</vt:lpstr>
      <vt:lpstr>CSMPTS_Automated!Print_Area</vt:lpstr>
      <vt:lpstr>CSMPTS_Manual!Print_Area</vt:lpstr>
      <vt:lpstr>'Internal BoM'!Print_Area</vt:lpstr>
      <vt:lpstr>Requires_Scoping</vt:lpstr>
      <vt:lpstr>Training</vt:lpstr>
      <vt:lpstr>TypeList</vt:lpstr>
      <vt:lpstr>Visualization_Development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2019-03-04T05:39:46Z</dcterms:created>
  <dcterms:modified xsi:type="dcterms:W3CDTF">2019-11-13T11:39:28Z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0x010100FBB10A5750AEA842A08A7E26D0C6E19C</vt:lpwstr>
  </property>
</Properties>
</file>